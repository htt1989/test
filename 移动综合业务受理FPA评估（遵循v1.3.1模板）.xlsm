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defaultThemeVersion="124226"/>
  <bookViews>
    <workbookView xWindow="5265" yWindow="285" windowWidth="13110" windowHeight="8010" tabRatio="515"/>
  </bookViews>
  <sheets>
    <sheet name="移动综合业务受理-2018年9月第一迭代" sheetId="31" r:id="rId1"/>
    <sheet name="移动综合业务受理-2018年8月第二迭代" sheetId="30" r:id="rId2"/>
    <sheet name="移动综合业务受理-2018年8月第一迭代" sheetId="28" r:id="rId3"/>
    <sheet name="FPA参数表" sheetId="22" r:id="rId4"/>
    <sheet name="调整因子说明" sheetId="10" r:id="rId5"/>
  </sheets>
  <functionGroups builtInGroupCount="17"/>
  <externalReferences>
    <externalReference r:id="rId6"/>
  </externalReferences>
  <definedNames>
    <definedName name="size10" localSheetId="1">#REF!</definedName>
    <definedName name="size10" localSheetId="2">#REF!</definedName>
    <definedName name="size10" localSheetId="0">#REF!</definedName>
    <definedName name="size10">#REF!</definedName>
    <definedName name="size20" localSheetId="1">#REF!</definedName>
    <definedName name="size20" localSheetId="2">#REF!</definedName>
    <definedName name="size20" localSheetId="0">#REF!</definedName>
    <definedName name="size20">#REF!</definedName>
    <definedName name="预算申请规模" localSheetId="1">#REF!</definedName>
    <definedName name="预算申请规模" localSheetId="2">#REF!</definedName>
    <definedName name="预算申请规模" localSheetId="0">#REF!</definedName>
    <definedName name="预算申请规模">#REF!</definedName>
  </definedNames>
  <calcPr calcId="144525"/>
  <fileRecoveryPr autoRecover="0"/>
</workbook>
</file>

<file path=xl/calcChain.xml><?xml version="1.0" encoding="utf-8"?>
<calcChain xmlns="http://schemas.openxmlformats.org/spreadsheetml/2006/main">
  <c r="P3" i="31" l="1"/>
  <c r="O3" i="31"/>
  <c r="N3" i="31"/>
  <c r="M3" i="31"/>
  <c r="L3" i="31"/>
  <c r="K3" i="31"/>
  <c r="J3" i="31"/>
  <c r="Q3" i="31" s="1"/>
  <c r="P3" i="30" l="1"/>
  <c r="O3" i="30"/>
  <c r="N3" i="30"/>
  <c r="M3" i="30"/>
  <c r="L3" i="30"/>
  <c r="K3" i="30"/>
  <c r="J3" i="30"/>
  <c r="Q3" i="30" l="1"/>
  <c r="R3" i="22"/>
  <c r="J3" i="28" s="1"/>
  <c r="R4" i="22" l="1"/>
  <c r="K3" i="28" s="1"/>
  <c r="Q3" i="28" s="1"/>
  <c r="R5" i="22"/>
  <c r="L3" i="28" s="1"/>
  <c r="R6" i="22"/>
  <c r="M3" i="28" s="1"/>
  <c r="R7" i="22"/>
  <c r="N3" i="28" s="1"/>
  <c r="R8" i="22"/>
  <c r="O3" i="28" s="1"/>
  <c r="R9" i="22"/>
  <c r="P3" i="28" s="1"/>
  <c r="R21" i="22" l="1"/>
  <c r="R20" i="22"/>
  <c r="R19" i="22"/>
  <c r="R18" i="22"/>
  <c r="R17" i="22"/>
  <c r="R16" i="22"/>
  <c r="R15" i="22"/>
  <c r="R14" i="22"/>
</calcChain>
</file>

<file path=xl/comments1.xml><?xml version="1.0" encoding="utf-8"?>
<comments xmlns="http://schemas.openxmlformats.org/spreadsheetml/2006/main">
  <authors>
    <author>作者</author>
  </authors>
  <commentList>
    <comment ref="C1" authorId="0">
      <text>
        <r>
          <rPr>
            <b/>
            <sz val="9"/>
            <color indexed="81"/>
            <rFont val="宋体"/>
            <family val="3"/>
            <charset val="134"/>
          </rPr>
          <t xml:space="preserve">郑立:为统一因子，根据历史情况进行优化和调整。
</t>
        </r>
      </text>
    </comment>
    <comment ref="R1" authorId="0">
      <text>
        <r>
          <rPr>
            <b/>
            <sz val="9"/>
            <color indexed="81"/>
            <rFont val="宋体"/>
            <family val="3"/>
            <charset val="134"/>
          </rPr>
          <t>作者:</t>
        </r>
        <r>
          <rPr>
            <sz val="9"/>
            <color indexed="81"/>
            <rFont val="宋体"/>
            <family val="3"/>
            <charset val="134"/>
          </rPr>
          <t xml:space="preserve">
项目所在类型在调整因子调整后所得的最终影响
系数</t>
        </r>
      </text>
    </comment>
    <comment ref="C12" authorId="0">
      <text>
        <r>
          <rPr>
            <b/>
            <sz val="9"/>
            <color indexed="81"/>
            <rFont val="宋体"/>
            <family val="3"/>
            <charset val="134"/>
          </rPr>
          <t xml:space="preserve">郑立:为统一因子，根据历史情况进行优化和调整。
</t>
        </r>
      </text>
    </comment>
    <comment ref="R12" authorId="0">
      <text>
        <r>
          <rPr>
            <b/>
            <sz val="9"/>
            <color indexed="81"/>
            <rFont val="宋体"/>
            <family val="3"/>
            <charset val="134"/>
          </rPr>
          <t>作者:</t>
        </r>
        <r>
          <rPr>
            <sz val="9"/>
            <color indexed="81"/>
            <rFont val="宋体"/>
            <family val="3"/>
            <charset val="134"/>
          </rPr>
          <t xml:space="preserve">
项目所在类型在调整因子调整后所得的最终影响
系数</t>
        </r>
      </text>
    </comment>
  </commentList>
</comments>
</file>

<file path=xl/sharedStrings.xml><?xml version="1.0" encoding="utf-8"?>
<sst xmlns="http://schemas.openxmlformats.org/spreadsheetml/2006/main" count="923" uniqueCount="408">
  <si>
    <t>类型</t>
  </si>
  <si>
    <t>团队经验</t>
    <phoneticPr fontId="2" type="noConversion"/>
  </si>
  <si>
    <t>多地协同</t>
    <phoneticPr fontId="2" type="noConversion"/>
  </si>
  <si>
    <t>软件（系统）因子</t>
    <phoneticPr fontId="2" type="noConversion"/>
  </si>
  <si>
    <t>开发（项目）因子</t>
    <phoneticPr fontId="2" type="noConversion"/>
  </si>
  <si>
    <t>数据通讯</t>
    <phoneticPr fontId="2" type="noConversion"/>
  </si>
  <si>
    <t>分布式数据</t>
    <phoneticPr fontId="2" type="noConversion"/>
  </si>
  <si>
    <t>性能要求</t>
    <phoneticPr fontId="2" type="noConversion"/>
  </si>
  <si>
    <t>业务量</t>
    <phoneticPr fontId="2" type="noConversion"/>
  </si>
  <si>
    <t>事务处理率</t>
    <phoneticPr fontId="2" type="noConversion"/>
  </si>
  <si>
    <t>在线交互</t>
    <phoneticPr fontId="2" type="noConversion"/>
  </si>
  <si>
    <t>易用性</t>
    <phoneticPr fontId="2" type="noConversion"/>
  </si>
  <si>
    <t>质量要求</t>
    <phoneticPr fontId="2" type="noConversion"/>
  </si>
  <si>
    <t>复杂处理</t>
    <phoneticPr fontId="2" type="noConversion"/>
  </si>
  <si>
    <t>需求变更</t>
    <phoneticPr fontId="2" type="noConversion"/>
  </si>
  <si>
    <t>综合参数调整因子表</t>
    <phoneticPr fontId="2" type="noConversion"/>
  </si>
  <si>
    <t>    0 毫无影响</t>
  </si>
  <si>
    <t>    1 偶然影响</t>
  </si>
  <si>
    <t>    2 适度影响</t>
  </si>
  <si>
    <t>    3 一般影响</t>
  </si>
  <si>
    <t>    4 重要影响</t>
  </si>
  <si>
    <t>    5 强烈影响</t>
  </si>
  <si>
    <t>    然后依次对以下14个系统常规特性进行打分，并带入以下计算公式算出功能点的调整因子。</t>
  </si>
  <si>
    <t>计算调整因子 (系统+开发因子）</t>
    <phoneticPr fontId="2" type="noConversion"/>
  </si>
  <si>
    <t>1. 数据通讯</t>
  </si>
  <si>
    <t>    数据通讯指的是应用程序直接与处理器通讯的程度。通常我们都是通过某种通讯手段来实现在一个应用中所使用的数据或者控制信息。连接到本地控制器上的终端被认为是通讯设施，协议则指两个系统或设备之间进行通讯时使用的一种约定。所有的数据通讯链接都需要某种协议。</t>
  </si>
  <si>
    <t> </t>
  </si>
  <si>
    <t xml:space="preserve">         0         </t>
    <phoneticPr fontId="2" type="noConversion"/>
  </si>
  <si>
    <t>应用程序是单纯的批处理或者PC stand-alone</t>
  </si>
  <si>
    <t>应用程序是一种批处理过程，但是包含远程数据的录入或远程打印</t>
  </si>
  <si>
    <t>应用程序是一种批处理过程，但是包含远程数据的录入和远程打印</t>
  </si>
  <si>
    <t>应用程序包括在线数据收集或者包括批处理或查询系统的远程处理的前端应用</t>
  </si>
  <si>
    <t>应用程序不单只是前端应用，但是仅支持一种远程处理通讯协议</t>
  </si>
  <si>
    <t>应用程序不单只是前端应用，还支持多于一种的远程处理通讯协议</t>
  </si>
  <si>
    <t>2. 分布式数据</t>
    <phoneticPr fontId="2" type="noConversion"/>
  </si>
  <si>
    <t>    分布式数据处理是应用在内部组件之间传递信息的程度。这个特性是在应用边界内体现的。</t>
  </si>
  <si>
    <t>应用程序不支持组件之间的数据传输和处理功能</t>
  </si>
  <si>
    <t>应用程序为用户可能进行的处理准备数据（例如使用电子表格或者数据库等）</t>
  </si>
  <si>
    <t>应用程序所准备的数据是为了在系统另外一个组件上传输和处理，并非为终端用户所处理。</t>
  </si>
  <si>
    <t>分布式处理和数据传输是在线的，并且是单向的</t>
  </si>
  <si>
    <t>分布式处理和数据传输是在线的，并且是双向的</t>
  </si>
  <si>
    <t>由系统中最恰当的组件动态地执行处理功能</t>
  </si>
  <si>
    <t>3. 性能要求</t>
    <phoneticPr fontId="2" type="noConversion"/>
  </si>
  <si>
    <t>    性能是吞吐量、处理时间等指标对开发的影响。用户所提出的性能要求将直接影响到系统的设计、实施、安装和支持。</t>
  </si>
  <si>
    <t xml:space="preserve">         0         </t>
    <phoneticPr fontId="2" type="noConversion"/>
  </si>
  <si>
    <t>用户没有提出性能方面的要求</t>
  </si>
  <si>
    <t>用户提出了性能和设计方面的要求，但不需要采取特定措施</t>
  </si>
  <si>
    <t>响应时间和吞吐量在系统峰值时是关键的，但是不需要采取相应的CPU使用方面的特殊设计。处理的最后期限是在下一个工作日。</t>
  </si>
  <si>
    <t>在任何时候响应时间和吞吐量都是关键的，但是不需要采取相应的CPU使用方面的特殊设计。处理的完成期限比较严格。</t>
  </si>
  <si>
    <t>除了上面一项的要求外，由于对需求的要求比较严格，在设计阶段就要进行性能分析。</t>
  </si>
  <si>
    <t>4. 业务量</t>
    <phoneticPr fontId="2" type="noConversion"/>
  </si>
  <si>
    <t>没有提出明确的运行方面的限制</t>
  </si>
  <si>
    <t>有运行方面的限制，但是不需要采取特别的措施以满足运行限制</t>
  </si>
  <si>
    <t>提出了一些安全和时间方面的限制</t>
  </si>
  <si>
    <t>应用程序的某些部分对处理器有特定的要求</t>
  </si>
  <si>
    <t>提出的运行限制对应用的中央处理器或者专用处理器有特殊的要求</t>
  </si>
  <si>
    <t>除上面一项之外，还对应用的分布式组件提出了限制</t>
  </si>
  <si>
    <t>5. 事务处理率</t>
  </si>
  <si>
    <t>    事务处理率是业务交易处理速度对系统的设计、实施、安装和支持等的影响。</t>
  </si>
  <si>
    <t>预计不会出现周期性的高峰事务处理期</t>
  </si>
  <si>
    <t>预计会有周期性的高峰事务处理期（例如：每月、每季、每年）</t>
  </si>
  <si>
    <t>预计每周都会出现高峰事务处理期</t>
  </si>
  <si>
    <t>预计每天都会出现高峰事务处理期</t>
  </si>
  <si>
    <t>用户在应用程序需求或者服务级别协议中对事务率要求很高，因此必须在设计阶段进行性能分析。</t>
  </si>
  <si>
    <t>用户在应用程序需求或者服务级别协议中对事务率要求很高，因此必须进行性能分析并在设计、开发和安装阶段中使用到性能分析工具。</t>
  </si>
  <si>
    <t>6. 在线交互</t>
    <phoneticPr fontId="2" type="noConversion"/>
  </si>
  <si>
    <t>    在线数据输入是指数据通过交互的方式输入系统的程度。系统中包括在线数据输入和控制信息功能。</t>
  </si>
  <si>
    <t>所有事务都是批处理的</t>
  </si>
  <si>
    <t>1%~7%的事务是以交互式的方式进行数据录入</t>
  </si>
  <si>
    <t>8%~15%的事务是以交互式的方式进行数据录入</t>
  </si>
  <si>
    <t>16%~23%的事务是以交互式的方式进行数据录入</t>
  </si>
  <si>
    <t>24%~30%的事务是以交互式的方式进行数据录入</t>
  </si>
  <si>
    <t>30%以上的事务是以交互式的方式进行数据录入</t>
  </si>
  <si>
    <t>7. 易用性</t>
  </si>
  <si>
    <t>    最终用户效率是指对应用的人文因素及使用的便捷程度等的考虑程度。</t>
  </si>
  <si>
    <t>    如下功能设计是针对最终用户效率的：</t>
  </si>
  <si>
    <t>页面导航</t>
  </si>
  <si>
    <t>菜单</t>
  </si>
  <si>
    <t>在线帮助或文档</t>
  </si>
  <si>
    <t>光标自动跳转</t>
  </si>
  <si>
    <t>可以滚动</t>
  </si>
  <si>
    <t>在线远程打印</t>
  </si>
  <si>
    <t>预定义的功能键</t>
  </si>
  <si>
    <t>在线做批量提交任务</t>
  </si>
  <si>
    <t>光标可以选取界面上的数据</t>
  </si>
  <si>
    <t>用户使用大量反白显示、重点显示、下划线或其他的标识</t>
  </si>
  <si>
    <t>在线copy用户文档</t>
  </si>
  <si>
    <t>鼠标拖动功能</t>
  </si>
  <si>
    <t>弹出窗体</t>
  </si>
  <si>
    <t>使用最少的界面完成某种商业功能</t>
  </si>
  <si>
    <t>双语言支持（如果选择了这个就算4项）</t>
  </si>
  <si>
    <t>语言支持（如果选择了这个就算6项）</t>
  </si>
  <si>
    <t>以上的一个都不包括</t>
  </si>
  <si>
    <t>包括以上的1~3个</t>
  </si>
  <si>
    <t>包括以上的4~5个</t>
  </si>
  <si>
    <t>包括以上的6个或以上，但是没有用户对于效率的要求</t>
  </si>
  <si>
    <t>包括以上的6个或以上，对用户使用效率有较高要求，因而必须考虑用户方面的设计（例如，最少击键次数、尽可能提供默认值、模版的使用）</t>
  </si>
  <si>
    <t>包括以上的6个或以上，用户对效率的要求使得开发人员必须使用特定的工具和流程以判定用户对效率的要求已经被达成</t>
  </si>
  <si>
    <t>8. 质量要求</t>
    <phoneticPr fontId="2" type="noConversion"/>
  </si>
  <si>
    <t>质量要求描述了系统在设计，开发，测试过程中的影响程度。它包含以下要素：</t>
    <phoneticPr fontId="2" type="noConversion"/>
  </si>
  <si>
    <t>性能(Performance)是指系统的响应能力，即要经过多长时间才能对某个事件作出响应，或者在某段时间内系统所能处理的事件个数；</t>
    <phoneticPr fontId="2" type="noConversion"/>
  </si>
  <si>
    <t>可用性(Availability)是指系统能够正常运行的时间比例；</t>
    <phoneticPr fontId="2" type="noConversion"/>
  </si>
  <si>
    <t>可靠性(Reliability)是指系统在应用或者错误面前，在意外或者错误使用的情况下维持软件系统功能特性的能力；</t>
    <phoneticPr fontId="2" type="noConversion"/>
  </si>
  <si>
    <t>健壮性(Robustness)是指在处理或者环境中系统能够承受的压力或者变更能力；</t>
    <phoneticPr fontId="2" type="noConversion"/>
  </si>
  <si>
    <t>安全性(Security)是指系统向合法用户提供服务的同时能够阻止非授权用户使用的企图或者拒绝服务的能力；</t>
    <phoneticPr fontId="2" type="noConversion"/>
  </si>
  <si>
    <t>可修改性(Modification)是指能够快速地以较高的性能价格比对系统进行变更的能力；</t>
    <phoneticPr fontId="2" type="noConversion"/>
  </si>
  <si>
    <t>可变性(Changeability)是指体系结构扩充或者变更成为新体系结构的能力；</t>
    <phoneticPr fontId="2" type="noConversion"/>
  </si>
  <si>
    <t>易用性(Usability)是衡量用户使用软件产品完成指定任务的难易程度；</t>
    <phoneticPr fontId="2" type="noConversion"/>
  </si>
  <si>
    <t>可测试性(Testability)是指软件发现故障并隔离定位其故障的能力特性，以及在一定的时间或者成本前提下进行测试设计、测试执行能力；</t>
    <phoneticPr fontId="2" type="noConversion"/>
  </si>
  <si>
    <t>功能性(Function ability)是指系统所能完成所期望工作的能力；</t>
    <phoneticPr fontId="2" type="noConversion"/>
  </si>
  <si>
    <t>互操作性(Inter-Operation)是指系统与外界或系统与系统之间的相互作用能力。</t>
    <phoneticPr fontId="2" type="noConversion"/>
  </si>
  <si>
    <t>满足1-2个</t>
    <phoneticPr fontId="2" type="noConversion"/>
  </si>
  <si>
    <t>满足3-4个</t>
    <phoneticPr fontId="2" type="noConversion"/>
  </si>
  <si>
    <t>满足5-6个</t>
    <phoneticPr fontId="2" type="noConversion"/>
  </si>
  <si>
    <t>满足7-8个</t>
    <phoneticPr fontId="2" type="noConversion"/>
  </si>
  <si>
    <t>满足9-10个</t>
    <phoneticPr fontId="2" type="noConversion"/>
  </si>
  <si>
    <t>全都满足</t>
    <phoneticPr fontId="2" type="noConversion"/>
  </si>
  <si>
    <t>复杂处理描述了逻辑处理对应用开发的影响程度。它包含以下要素：</t>
    <phoneticPr fontId="2" type="noConversion"/>
  </si>
  <si>
    <t>    支持变更是指应用在设计上考虑支持处理逻辑和数据结构变化的程度。</t>
  </si>
  <si>
    <t xml:space="preserve">         0         </t>
    <phoneticPr fontId="2" type="noConversion"/>
  </si>
  <si>
    <r>
      <rPr>
        <sz val="11"/>
        <color theme="1"/>
        <rFont val="微软雅黑"/>
        <family val="2"/>
        <charset val="134"/>
      </rPr>
      <t>一个都不满足</t>
    </r>
  </si>
  <si>
    <r>
      <rPr>
        <sz val="11"/>
        <color theme="1"/>
        <rFont val="微软雅黑"/>
        <family val="2"/>
        <charset val="134"/>
      </rPr>
      <t>合计满足一个</t>
    </r>
  </si>
  <si>
    <r>
      <rPr>
        <sz val="11"/>
        <color theme="1"/>
        <rFont val="微软雅黑"/>
        <family val="2"/>
        <charset val="134"/>
      </rPr>
      <t>合计满足二个</t>
    </r>
  </si>
  <si>
    <r>
      <rPr>
        <sz val="11"/>
        <color theme="1"/>
        <rFont val="微软雅黑"/>
        <family val="2"/>
        <charset val="134"/>
      </rPr>
      <t>合计满足三个</t>
    </r>
  </si>
  <si>
    <r>
      <rPr>
        <sz val="11"/>
        <color theme="1"/>
        <rFont val="微软雅黑"/>
        <family val="2"/>
        <charset val="134"/>
      </rPr>
      <t>合计满足四个</t>
    </r>
  </si>
  <si>
    <r>
      <rPr>
        <sz val="11"/>
        <color theme="1"/>
        <rFont val="微软雅黑"/>
        <family val="2"/>
        <charset val="134"/>
      </rPr>
      <t>合计满足五个</t>
    </r>
  </si>
  <si>
    <t>需使用超过2种语言以上才能进行全员沟通</t>
    <phoneticPr fontId="2" type="noConversion"/>
  </si>
  <si>
    <t>需要2种语言进行全员沟通，且沟通存在一定困难</t>
    <phoneticPr fontId="2" type="noConversion"/>
  </si>
  <si>
    <t>需要2种语言进行全员沟通，沟通有一定困难，但不影响最终表达结果</t>
    <phoneticPr fontId="2" type="noConversion"/>
  </si>
  <si>
    <t>多语言沟通，但是不存在任何沟通问题</t>
    <phoneticPr fontId="2" type="noConversion"/>
  </si>
  <si>
    <t>行业和项目背景，同类行业及项目的以往经验 ：</t>
    <phoneticPr fontId="2" type="noConversion"/>
  </si>
  <si>
    <t>为本行业开发过类似的项目</t>
  </si>
  <si>
    <t>为其他行业开发过类似的项目，或为本行业开发过不同但相关的项目</t>
  </si>
  <si>
    <t>没有同类项目的背景</t>
  </si>
  <si>
    <r>
      <t xml:space="preserve">    </t>
    </r>
    <r>
      <rPr>
        <sz val="11"/>
        <color theme="1"/>
        <rFont val="等线"/>
        <family val="2"/>
      </rPr>
      <t>多场地指应用系统经特殊设计、开发可以在多个组织、多个地点应用的程度。</t>
    </r>
  </si>
  <si>
    <r>
      <rPr>
        <sz val="11"/>
        <color theme="1"/>
        <rFont val="微软雅黑"/>
        <family val="2"/>
        <charset val="134"/>
      </rPr>
      <t>用户需求不含多场地和组织的要求</t>
    </r>
  </si>
  <si>
    <r>
      <rPr>
        <sz val="11"/>
        <color theme="1"/>
        <rFont val="微软雅黑"/>
        <family val="2"/>
        <charset val="134"/>
      </rPr>
      <t>考虑了多场地的要求，但是设计要求应用在不同的场地使用相同的软硬件环境</t>
    </r>
  </si>
  <si>
    <r>
      <rPr>
        <sz val="11"/>
        <color theme="1"/>
        <rFont val="微软雅黑"/>
        <family val="2"/>
        <charset val="134"/>
      </rPr>
      <t>考虑了多场地的要求，同时设计支持应用在不同的场地使用不同的软硬件环境</t>
    </r>
  </si>
  <si>
    <t>业务/应用领域指系统主要功能的使用场景，它主要包含如下分类：</t>
    <phoneticPr fontId="2" type="noConversion"/>
  </si>
  <si>
    <t xml:space="preserve">业务处理 -办公系统OA，人事、会计、工资、销售及其他业务处理用软件 </t>
    <phoneticPr fontId="2" type="noConversion"/>
  </si>
  <si>
    <t xml:space="preserve">科学计算 -科学计算、数据模拟等 </t>
    <phoneticPr fontId="2" type="noConversion"/>
  </si>
  <si>
    <t>多媒体 -图表,影像,声音等多媒体应用领域,地理信息系统,教育和娱乐用等</t>
    <phoneticPr fontId="2" type="noConversion"/>
  </si>
  <si>
    <t>系统 -操作系统，语言处理程序，数据库系统，CASE工具等</t>
    <phoneticPr fontId="2" type="noConversion"/>
  </si>
  <si>
    <t xml:space="preserve">通信控制-通信协议,仿真,交换机软件,GPS等 </t>
    <phoneticPr fontId="2" type="noConversion"/>
  </si>
  <si>
    <t>实时控制-生产管理，仪器控制，机器人控制，嵌入式软件等</t>
    <phoneticPr fontId="2" type="noConversion"/>
  </si>
  <si>
    <t>    FP Count =UFP * VAF</t>
  </si>
  <si>
    <t>二次开发的项目</t>
    <phoneticPr fontId="2" type="noConversion"/>
  </si>
  <si>
    <t>    FP Count = ADD * VAF</t>
  </si>
  <si>
    <t>ADD</t>
  </si>
  <si>
    <t>Added functionality</t>
  </si>
  <si>
    <t>CFP</t>
  </si>
  <si>
    <t>Conversion functionality</t>
  </si>
  <si>
    <t>CHGA</t>
  </si>
  <si>
    <t>UFP of changed functionality after enhancement</t>
  </si>
  <si>
    <t>DEL</t>
  </si>
  <si>
    <t>Deleted functionality</t>
  </si>
  <si>
    <t>UFP</t>
  </si>
  <si>
    <t>Unadjusted functional point count</t>
  </si>
  <si>
    <t>VAF</t>
  </si>
  <si>
    <t>Value adjustment factor</t>
  </si>
  <si>
    <t>VAFA</t>
  </si>
  <si>
    <t>Value adjustment factor after enhancement</t>
  </si>
  <si>
    <t>VAFB</t>
  </si>
  <si>
    <t>Value adjustment factor before enhancement</t>
  </si>
  <si>
    <t>EI</t>
  </si>
  <si>
    <t>除了上面一项的要求之外，在设计和实施阶段需要使用性能分析工具来判断性能要求的完成情况。</t>
    <phoneticPr fontId="2" type="noConversion"/>
  </si>
  <si>
    <t>考虑了多场地的要求，但是设计要求应用在不同的场地使用类似的软硬件环境</t>
    <phoneticPr fontId="2" type="noConversion"/>
  </si>
  <si>
    <t>EQ</t>
  </si>
  <si>
    <t>    Value Adjustment Factor=( sum of (DI) * 0.01 ) + 0.64</t>
  </si>
  <si>
    <t>Siebel</t>
    <phoneticPr fontId="2" type="noConversion"/>
  </si>
  <si>
    <t>综合系数</t>
    <phoneticPr fontId="2" type="noConversion"/>
  </si>
  <si>
    <t>Epic</t>
    <phoneticPr fontId="2" type="noConversion"/>
  </si>
  <si>
    <t>模型类型</t>
    <phoneticPr fontId="2" type="noConversion"/>
  </si>
  <si>
    <t>需求</t>
    <phoneticPr fontId="2" type="noConversion"/>
  </si>
  <si>
    <t>FPA</t>
    <phoneticPr fontId="2" type="noConversion"/>
  </si>
  <si>
    <t>ETL</t>
    <phoneticPr fontId="2" type="noConversion"/>
  </si>
  <si>
    <t>功能点</t>
    <phoneticPr fontId="2" type="noConversion"/>
  </si>
  <si>
    <t>类型是指系统交付后，处于阶段期间，需求开发工作与新功能开发功能重用度的程度。</t>
  </si>
  <si>
    <t>需求和现有系统功能的相似度高，大部分需求只需微量调整即可实现。</t>
  </si>
  <si>
    <t>需求和现有系统功能的相似度高，大部分需求只需调整即可实现。</t>
  </si>
  <si>
    <t>需求和现有系统功能的相似度偏高，部分需求有需要调整。</t>
  </si>
  <si>
    <t>需求和现有系统功能的相似度中，有接近一半需求需要重新开发。</t>
  </si>
  <si>
    <t>需求和现有系统功能的相似度偏低，需要大量开发工作才能实现。</t>
  </si>
  <si>
    <t>验收标准</t>
    <phoneticPr fontId="2" type="noConversion"/>
  </si>
  <si>
    <t>Story</t>
    <phoneticPr fontId="2" type="noConversion"/>
  </si>
  <si>
    <t>Native</t>
    <phoneticPr fontId="2" type="noConversion"/>
  </si>
  <si>
    <t>需求和现有系统功能的相似度低，很少能重用，几乎都要重新开发。</t>
    <phoneticPr fontId="2" type="noConversion"/>
  </si>
  <si>
    <t>前端(H5)</t>
    <phoneticPr fontId="2" type="noConversion"/>
  </si>
  <si>
    <t>后端(JAVA)</t>
    <phoneticPr fontId="2" type="noConversion"/>
  </si>
  <si>
    <t>Web(H5)</t>
    <phoneticPr fontId="2" type="noConversion"/>
  </si>
  <si>
    <t>GateWay（后端）</t>
    <phoneticPr fontId="2" type="noConversion"/>
  </si>
  <si>
    <t>微服务（后端）</t>
    <phoneticPr fontId="2" type="noConversion"/>
  </si>
  <si>
    <t>    大业务量配置是指计算机资源对应用开发的影响程度。大业务量的运行配置对设计有特殊要求，是必须考虑的一个系统特性。</t>
    <phoneticPr fontId="2" type="noConversion"/>
  </si>
  <si>
    <t xml:space="preserve">20+ </t>
  </si>
  <si>
    <t xml:space="preserve">0-1 </t>
  </si>
  <si>
    <t xml:space="preserve">4+ </t>
  </si>
  <si>
    <t>复杂
度</t>
    <phoneticPr fontId="2" type="noConversion"/>
  </si>
  <si>
    <t>需求变更</t>
    <phoneticPr fontId="2" type="noConversion"/>
  </si>
  <si>
    <t>多语言</t>
    <phoneticPr fontId="2" type="noConversion"/>
  </si>
  <si>
    <t>业务领域</t>
    <phoneticPr fontId="2" type="noConversion"/>
  </si>
  <si>
    <t>多语言</t>
    <phoneticPr fontId="2" type="noConversion"/>
  </si>
  <si>
    <t>业务领域</t>
    <phoneticPr fontId="2" type="noConversion"/>
  </si>
  <si>
    <t xml:space="preserve">20-50 </t>
  </si>
  <si>
    <t xml:space="preserve">51+ </t>
  </si>
  <si>
    <t xml:space="preserve">6+ </t>
  </si>
  <si>
    <t>1-19</t>
    <phoneticPr fontId="2" type="noConversion"/>
  </si>
  <si>
    <t>2-5</t>
    <phoneticPr fontId="2" type="noConversion"/>
  </si>
  <si>
    <t xml:space="preserve">L=低 </t>
  </si>
  <si>
    <t xml:space="preserve">A=中 </t>
  </si>
  <si>
    <t xml:space="preserve">H=高 </t>
  </si>
  <si>
    <t>1-5</t>
    <phoneticPr fontId="2" type="noConversion"/>
  </si>
  <si>
    <t>5-19</t>
    <phoneticPr fontId="2" type="noConversion"/>
  </si>
  <si>
    <t>2-3</t>
    <phoneticPr fontId="2" type="noConversion"/>
  </si>
  <si>
    <t xml:space="preserve">16+ </t>
  </si>
  <si>
    <t xml:space="preserve">3+ </t>
  </si>
  <si>
    <t>1-4</t>
    <phoneticPr fontId="2" type="noConversion"/>
  </si>
  <si>
    <t>5-15</t>
    <phoneticPr fontId="2" type="noConversion"/>
  </si>
  <si>
    <t>RET/DET</t>
    <phoneticPr fontId="2" type="noConversion"/>
  </si>
  <si>
    <t xml:space="preserve">L-5 </t>
    <phoneticPr fontId="2" type="noConversion"/>
  </si>
  <si>
    <t xml:space="preserve">A-7 </t>
    <phoneticPr fontId="2" type="noConversion"/>
  </si>
  <si>
    <t>H-10</t>
    <phoneticPr fontId="2" type="noConversion"/>
  </si>
  <si>
    <t>H-10：高复杂度,10功能点</t>
    <phoneticPr fontId="2" type="noConversion"/>
  </si>
  <si>
    <t xml:space="preserve">L-7 </t>
    <phoneticPr fontId="2" type="noConversion"/>
  </si>
  <si>
    <t xml:space="preserve">A-10 </t>
    <phoneticPr fontId="2" type="noConversion"/>
  </si>
  <si>
    <t xml:space="preserve">H-15 </t>
    <phoneticPr fontId="2" type="noConversion"/>
  </si>
  <si>
    <t xml:space="preserve">L-3 </t>
    <phoneticPr fontId="2" type="noConversion"/>
  </si>
  <si>
    <t xml:space="preserve">A-4 </t>
    <phoneticPr fontId="2" type="noConversion"/>
  </si>
  <si>
    <t xml:space="preserve">H-6 </t>
    <phoneticPr fontId="2" type="noConversion"/>
  </si>
  <si>
    <t xml:space="preserve">L-4 </t>
    <phoneticPr fontId="2" type="noConversion"/>
  </si>
  <si>
    <t xml:space="preserve">A-5 </t>
    <phoneticPr fontId="2" type="noConversion"/>
  </si>
  <si>
    <t xml:space="preserve">H-7 </t>
    <phoneticPr fontId="2" type="noConversion"/>
  </si>
  <si>
    <t>EI
复杂度</t>
    <phoneticPr fontId="2" type="noConversion"/>
  </si>
  <si>
    <t>EQ
复杂度</t>
    <phoneticPr fontId="2" type="noConversion"/>
  </si>
  <si>
    <t>EO
复杂度</t>
    <phoneticPr fontId="2" type="noConversion"/>
  </si>
  <si>
    <t>ELF
复杂度</t>
    <phoneticPr fontId="2" type="noConversion"/>
  </si>
  <si>
    <t>ILF
复杂度</t>
    <phoneticPr fontId="2" type="noConversion"/>
  </si>
  <si>
    <t>综合
系数</t>
    <phoneticPr fontId="2" type="noConversion"/>
  </si>
  <si>
    <t>移动前端</t>
    <phoneticPr fontId="2" type="noConversion"/>
  </si>
  <si>
    <t>前端</t>
    <phoneticPr fontId="2" type="noConversion"/>
  </si>
  <si>
    <t>移动前端</t>
    <phoneticPr fontId="2" type="noConversion"/>
  </si>
  <si>
    <t>GateWay(php)</t>
    <phoneticPr fontId="2" type="noConversion"/>
  </si>
  <si>
    <t>后端(JAVA)</t>
    <phoneticPr fontId="2" type="noConversion"/>
  </si>
  <si>
    <t>Native</t>
    <phoneticPr fontId="2" type="noConversion"/>
  </si>
  <si>
    <t>GateWay(php)</t>
    <phoneticPr fontId="2" type="noConversion"/>
  </si>
  <si>
    <t>RET</t>
    <phoneticPr fontId="2" type="noConversion"/>
  </si>
  <si>
    <t>关联的文件类型</t>
    <phoneticPr fontId="2" type="noConversion"/>
  </si>
  <si>
    <t>DET</t>
    <phoneticPr fontId="2" type="noConversion"/>
  </si>
  <si>
    <t>关联的字段类型</t>
    <phoneticPr fontId="2" type="noConversion"/>
  </si>
  <si>
    <t>中</t>
  </si>
  <si>
    <t>EIL</t>
    <phoneticPr fontId="2" type="noConversion"/>
  </si>
  <si>
    <t>ILF</t>
    <phoneticPr fontId="2" type="noConversion"/>
  </si>
  <si>
    <t>EI</t>
    <phoneticPr fontId="2" type="noConversion"/>
  </si>
  <si>
    <t>EQ</t>
    <phoneticPr fontId="2" type="noConversion"/>
  </si>
  <si>
    <t>EI</t>
    <phoneticPr fontId="2" type="noConversion"/>
  </si>
  <si>
    <t>低</t>
  </si>
  <si>
    <t>低</t>
    <phoneticPr fontId="2" type="noConversion"/>
  </si>
  <si>
    <t>中</t>
    <phoneticPr fontId="2" type="noConversion"/>
  </si>
  <si>
    <t>高</t>
    <phoneticPr fontId="2" type="noConversion"/>
  </si>
  <si>
    <r>
      <t>用功能点估</t>
    </r>
    <r>
      <rPr>
        <b/>
        <sz val="11"/>
        <color theme="1"/>
        <rFont val="宋体"/>
        <family val="2"/>
        <charset val="134"/>
        <scheme val="minor"/>
      </rPr>
      <t>算法</t>
    </r>
    <r>
      <rPr>
        <sz val="11"/>
        <color theme="1"/>
        <rFont val="宋体"/>
        <family val="2"/>
        <charset val="134"/>
        <scheme val="minor"/>
      </rPr>
      <t>计算</t>
    </r>
    <r>
      <rPr>
        <b/>
        <sz val="11"/>
        <color theme="1"/>
        <rFont val="宋体"/>
        <family val="2"/>
        <charset val="134"/>
        <scheme val="minor"/>
      </rPr>
      <t>软件</t>
    </r>
    <r>
      <rPr>
        <sz val="11"/>
        <color theme="1"/>
        <rFont val="宋体"/>
        <family val="2"/>
        <charset val="134"/>
        <scheme val="minor"/>
      </rPr>
      <t>项目功能点时会用到调整因子（或称调整系数）。功能点的调整系数是通过通用系统特性及其影响程度来评定的，对每个常规系统特性的评估由其影响程度（DI）而定，分为0－5级：</t>
    </r>
  </si>
  <si>
    <r>
      <t xml:space="preserve">9. </t>
    </r>
    <r>
      <rPr>
        <sz val="11"/>
        <color theme="1"/>
        <rFont val="微软雅黑"/>
        <family val="2"/>
        <charset val="134"/>
      </rPr>
      <t>复杂处理</t>
    </r>
  </si>
  <si>
    <r>
      <rPr>
        <sz val="11"/>
        <color theme="1"/>
        <rFont val="微软雅黑"/>
        <family val="2"/>
        <charset val="134"/>
      </rPr>
      <t>敏感控制（例如特殊的审核过程）和</t>
    </r>
    <r>
      <rPr>
        <sz val="11"/>
        <color theme="1"/>
        <rFont val="宋体"/>
        <family val="2"/>
        <scheme val="minor"/>
      </rPr>
      <t>/</t>
    </r>
    <r>
      <rPr>
        <sz val="11"/>
        <color theme="1"/>
        <rFont val="微软雅黑"/>
        <family val="2"/>
        <charset val="134"/>
      </rPr>
      <t>或程序特定的安全处理</t>
    </r>
  </si>
  <si>
    <r>
      <rPr>
        <sz val="11"/>
        <color theme="1"/>
        <rFont val="微软雅黑"/>
        <family val="2"/>
        <charset val="134"/>
      </rPr>
      <t>大量的逻辑处理</t>
    </r>
  </si>
  <si>
    <r>
      <rPr>
        <sz val="11"/>
        <color theme="1"/>
        <rFont val="微软雅黑"/>
        <family val="2"/>
        <charset val="134"/>
      </rPr>
      <t>大量的数学处理</t>
    </r>
  </si>
  <si>
    <r>
      <rPr>
        <sz val="11"/>
        <color theme="1"/>
        <rFont val="微软雅黑"/>
        <family val="2"/>
        <charset val="134"/>
      </rPr>
      <t>因为例外处理造成的需要重新处理的情况（例如，由</t>
    </r>
    <r>
      <rPr>
        <sz val="11"/>
        <color theme="1"/>
        <rFont val="宋体"/>
        <family val="2"/>
        <scheme val="minor"/>
      </rPr>
      <t>TP</t>
    </r>
    <r>
      <rPr>
        <sz val="11"/>
        <color theme="1"/>
        <rFont val="微软雅黑"/>
        <family val="2"/>
        <charset val="134"/>
      </rPr>
      <t>中断、数据值缺少和验证失败导致的</t>
    </r>
    <r>
      <rPr>
        <sz val="11"/>
        <color theme="1"/>
        <rFont val="宋体"/>
        <family val="2"/>
        <scheme val="minor"/>
      </rPr>
      <t>ATM</t>
    </r>
    <r>
      <rPr>
        <sz val="11"/>
        <color theme="1"/>
        <rFont val="微软雅黑"/>
        <family val="2"/>
        <charset val="134"/>
      </rPr>
      <t>事务）</t>
    </r>
  </si>
  <si>
    <r>
      <rPr>
        <sz val="11"/>
        <color theme="1"/>
        <rFont val="微软雅黑"/>
        <family val="2"/>
        <charset val="134"/>
      </rPr>
      <t>多种可能的输入</t>
    </r>
    <r>
      <rPr>
        <sz val="11"/>
        <color theme="1"/>
        <rFont val="宋体"/>
        <family val="2"/>
        <scheme val="minor"/>
      </rPr>
      <t>/</t>
    </r>
    <r>
      <rPr>
        <sz val="11"/>
        <color theme="1"/>
        <rFont val="微软雅黑"/>
        <family val="2"/>
        <charset val="134"/>
      </rPr>
      <t>输出造成的复杂处理</t>
    </r>
  </si>
  <si>
    <r>
      <t xml:space="preserve">    </t>
    </r>
    <r>
      <rPr>
        <sz val="11"/>
        <color theme="1"/>
        <rFont val="微软雅黑"/>
        <family val="2"/>
        <charset val="134"/>
      </rPr>
      <t>可以具有如下的特性：</t>
    </r>
  </si>
  <si>
    <r>
      <rPr>
        <sz val="11"/>
        <color theme="1"/>
        <rFont val="微软雅黑"/>
        <family val="2"/>
        <charset val="134"/>
      </rPr>
      <t>提供可以处理简单要求的弹性查询和报告功能，如对一个</t>
    </r>
    <r>
      <rPr>
        <sz val="11"/>
        <color theme="1"/>
        <rFont val="宋体"/>
        <family val="2"/>
        <scheme val="minor"/>
      </rPr>
      <t>ILF</t>
    </r>
    <r>
      <rPr>
        <sz val="11"/>
        <color theme="1"/>
        <rFont val="微软雅黑"/>
        <family val="2"/>
        <charset val="134"/>
      </rPr>
      <t>进行与（或）逻辑</t>
    </r>
  </si>
  <si>
    <r>
      <rPr>
        <sz val="11"/>
        <color theme="1"/>
        <rFont val="微软雅黑"/>
        <family val="2"/>
        <charset val="134"/>
      </rPr>
      <t>提供可以处理一般复杂度要求的弹性查询和报告功能，如对多于一个的</t>
    </r>
    <r>
      <rPr>
        <sz val="11"/>
        <color theme="1"/>
        <rFont val="宋体"/>
        <family val="2"/>
        <scheme val="minor"/>
      </rPr>
      <t>ILF</t>
    </r>
    <r>
      <rPr>
        <sz val="11"/>
        <color theme="1"/>
        <rFont val="微软雅黑"/>
        <family val="2"/>
        <charset val="134"/>
      </rPr>
      <t>进行与（或）逻辑（当作两项计算）</t>
    </r>
  </si>
  <si>
    <r>
      <rPr>
        <sz val="11"/>
        <color theme="1"/>
        <rFont val="微软雅黑"/>
        <family val="2"/>
        <charset val="134"/>
      </rPr>
      <t>提供可以处理复杂要求的弹性查询和报告功能，如对一个或多个</t>
    </r>
    <r>
      <rPr>
        <sz val="11"/>
        <color theme="1"/>
        <rFont val="宋体"/>
        <family val="2"/>
        <scheme val="minor"/>
      </rPr>
      <t>ILF</t>
    </r>
    <r>
      <rPr>
        <sz val="11"/>
        <color theme="1"/>
        <rFont val="微软雅黑"/>
        <family val="2"/>
        <charset val="134"/>
      </rPr>
      <t>进行与（或）逻辑的组合（当作三项计算）</t>
    </r>
  </si>
  <si>
    <r>
      <rPr>
        <sz val="11"/>
        <color theme="1"/>
        <rFont val="微软雅黑"/>
        <family val="2"/>
        <charset val="134"/>
      </rPr>
      <t>业务控制数据被保存到用户通过在线交互进程维护的表中，但变更只会在第二个工作日生效</t>
    </r>
  </si>
  <si>
    <r>
      <rPr>
        <sz val="11"/>
        <color theme="1"/>
        <rFont val="微软雅黑"/>
        <family val="2"/>
        <charset val="134"/>
      </rPr>
      <t>业务控制数据被保存到用户通过在线交互进程维护的表中，且变更即时生效</t>
    </r>
  </si>
  <si>
    <r>
      <rPr>
        <sz val="11"/>
        <color theme="1"/>
        <rFont val="微软雅黑"/>
        <family val="2"/>
        <charset val="134"/>
      </rPr>
      <t>在</t>
    </r>
    <r>
      <rPr>
        <sz val="11"/>
        <color theme="1"/>
        <rFont val="宋体"/>
        <family val="2"/>
        <scheme val="minor"/>
      </rPr>
      <t xml:space="preserve">1 </t>
    </r>
    <r>
      <rPr>
        <sz val="11"/>
        <color theme="1"/>
        <rFont val="微软雅黑"/>
        <family val="2"/>
        <charset val="134"/>
      </rPr>
      <t>或者</t>
    </r>
    <r>
      <rPr>
        <sz val="11"/>
        <color theme="1"/>
        <rFont val="宋体"/>
        <family val="2"/>
        <scheme val="minor"/>
      </rPr>
      <t xml:space="preserve">2 </t>
    </r>
    <r>
      <rPr>
        <sz val="11"/>
        <color theme="1"/>
        <rFont val="微软雅黑"/>
        <family val="2"/>
        <charset val="134"/>
      </rPr>
      <t>的要求之上，提供了经过测试的多场地的文档和支持计划</t>
    </r>
  </si>
  <si>
    <r>
      <rPr>
        <sz val="11"/>
        <color theme="1"/>
        <rFont val="微软雅黑"/>
        <family val="2"/>
        <charset val="134"/>
      </rPr>
      <t>在</t>
    </r>
    <r>
      <rPr>
        <sz val="11"/>
        <color theme="1"/>
        <rFont val="宋体"/>
        <family val="2"/>
        <scheme val="minor"/>
      </rPr>
      <t xml:space="preserve">3 </t>
    </r>
    <r>
      <rPr>
        <sz val="11"/>
        <color theme="1"/>
        <rFont val="微软雅黑"/>
        <family val="2"/>
        <charset val="134"/>
      </rPr>
      <t>的要求之上，提供了经过测试的多场地的文档和支持计划</t>
    </r>
  </si>
  <si>
    <r>
      <rPr>
        <sz val="11"/>
        <color theme="1"/>
        <rFont val="微软雅黑"/>
        <family val="2"/>
        <charset val="134"/>
      </rPr>
      <t>计算调整后的功能点个数</t>
    </r>
  </si>
  <si>
    <r>
      <rPr>
        <sz val="11"/>
        <color theme="1"/>
        <rFont val="微软雅黑"/>
        <family val="2"/>
        <charset val="134"/>
      </rPr>
      <t>功能点的原始计算公式：</t>
    </r>
  </si>
  <si>
    <r>
      <rPr>
        <sz val="11"/>
        <color theme="1"/>
        <rFont val="微软雅黑"/>
        <family val="2"/>
        <charset val="134"/>
      </rPr>
      <t>新开发项目</t>
    </r>
  </si>
  <si>
    <r>
      <t xml:space="preserve">    </t>
    </r>
    <r>
      <rPr>
        <sz val="11"/>
        <color theme="1"/>
        <rFont val="等线"/>
        <family val="2"/>
      </rPr>
      <t>有时新开发的软件项目也需要与其他现存的软件系统进行整合。例如：一个企业新开发的</t>
    </r>
    <r>
      <rPr>
        <sz val="11"/>
        <color theme="1"/>
        <rFont val="宋体"/>
        <family val="2"/>
        <scheme val="minor"/>
      </rPr>
      <t>MIS</t>
    </r>
    <r>
      <rPr>
        <sz val="11"/>
        <color theme="1"/>
        <rFont val="等线"/>
        <family val="2"/>
      </rPr>
      <t>内部管理系统经常会与财务系统进行整合。这时除了考虑本身项目的功能点个数外，还要考虑系统整合或数据迁移部分的工作量。因此，其功能点计算公式如下：</t>
    </r>
  </si>
  <si>
    <r>
      <t>    FP Count =</t>
    </r>
    <r>
      <rPr>
        <sz val="11"/>
        <color theme="1"/>
        <rFont val="微软雅黑"/>
        <family val="2"/>
        <charset val="134"/>
      </rPr>
      <t>（</t>
    </r>
    <r>
      <rPr>
        <sz val="11"/>
        <color theme="1"/>
        <rFont val="宋体"/>
        <family val="2"/>
        <scheme val="minor"/>
      </rPr>
      <t>UFP+CFP</t>
    </r>
    <r>
      <rPr>
        <sz val="11"/>
        <color theme="1"/>
        <rFont val="微软雅黑"/>
        <family val="2"/>
        <charset val="134"/>
      </rPr>
      <t>）</t>
    </r>
    <r>
      <rPr>
        <sz val="11"/>
        <color theme="1"/>
        <rFont val="宋体"/>
        <family val="2"/>
        <scheme val="minor"/>
      </rPr>
      <t>* VAF</t>
    </r>
  </si>
  <si>
    <r>
      <t xml:space="preserve">    </t>
    </r>
    <r>
      <rPr>
        <sz val="11"/>
        <color theme="1"/>
        <rFont val="微软雅黑"/>
        <family val="2"/>
        <charset val="134"/>
      </rPr>
      <t>有时新开发的软件项目是在原有基础上进行二次开发的，只是为了增加一些新功能。因此，其功能点计算公式如下：</t>
    </r>
  </si>
  <si>
    <r>
      <rPr>
        <sz val="11"/>
        <color theme="1"/>
        <rFont val="微软雅黑"/>
        <family val="2"/>
        <charset val="134"/>
      </rPr>
      <t>功能增强的项目</t>
    </r>
  </si>
  <si>
    <r>
      <t xml:space="preserve">    </t>
    </r>
    <r>
      <rPr>
        <sz val="11"/>
        <color theme="1"/>
        <rFont val="微软雅黑"/>
        <family val="2"/>
        <charset val="134"/>
      </rPr>
      <t>功能增强项目的功能点估算比较复杂。在计算功能点前大家需要计算有哪些是新增加的功能，哪些是被修改的功能，哪些是属于数据迁移或系统整合的功能。然后计算新系统技术复杂度的调整因子</t>
    </r>
    <r>
      <rPr>
        <sz val="11"/>
        <color theme="1"/>
        <rFont val="宋体"/>
        <family val="2"/>
        <scheme val="minor"/>
      </rPr>
      <t>“VAFA”</t>
    </r>
    <r>
      <rPr>
        <sz val="11"/>
        <color theme="1"/>
        <rFont val="微软雅黑"/>
        <family val="2"/>
        <charset val="134"/>
      </rPr>
      <t>，并在此基础上计算系统功能点的数量。当然，此类项目也会去掉一些原有功能，那么在原有系统的技术复杂度基础上重新计算功能点的调整因子</t>
    </r>
    <r>
      <rPr>
        <sz val="11"/>
        <color theme="1"/>
        <rFont val="宋体"/>
        <family val="2"/>
        <scheme val="minor"/>
      </rPr>
      <t>“VAFB”</t>
    </r>
    <r>
      <rPr>
        <sz val="11"/>
        <color theme="1"/>
        <rFont val="微软雅黑"/>
        <family val="2"/>
        <charset val="134"/>
      </rPr>
      <t>，再计算所去掉功能贡献的功能点数量。因此，其功能点计算公式如下：</t>
    </r>
  </si>
  <si>
    <r>
      <rPr>
        <sz val="11"/>
        <color theme="1"/>
        <rFont val="微软雅黑"/>
        <family val="2"/>
        <charset val="134"/>
      </rPr>
      <t>术语</t>
    </r>
  </si>
  <si>
    <r>
      <rPr>
        <sz val="11"/>
        <color theme="1"/>
        <rFont val="微软雅黑"/>
        <family val="2"/>
        <charset val="134"/>
      </rPr>
      <t>英文</t>
    </r>
  </si>
  <si>
    <t>11. 分层系数</t>
    <phoneticPr fontId="2" type="noConversion"/>
  </si>
  <si>
    <t>分层系数</t>
    <phoneticPr fontId="2" type="noConversion"/>
  </si>
  <si>
    <t>功能通常需要2层不同的技术和人员评估和实现</t>
    <phoneticPr fontId="2" type="noConversion"/>
  </si>
  <si>
    <t>功能实现采用端到端整体的功能点评估和实现</t>
    <phoneticPr fontId="2" type="noConversion"/>
  </si>
  <si>
    <t>分层系数是指，在设计过程中，需要考虑到功能的实现涉及多种不同技术的集成，这将影响单个技术的实现程度。往往层次越多，整体复杂度上升，但是单层一次的复杂度下降</t>
    <phoneticPr fontId="2" type="noConversion"/>
  </si>
  <si>
    <t>功能通常需要3层技术和人员评估和实现</t>
    <phoneticPr fontId="2" type="noConversion"/>
  </si>
  <si>
    <t>EO</t>
  </si>
  <si>
    <r>
      <t xml:space="preserve">10. </t>
    </r>
    <r>
      <rPr>
        <sz val="11"/>
        <color theme="1"/>
        <rFont val="微软雅黑"/>
        <family val="2"/>
        <charset val="134"/>
      </rPr>
      <t>需求变更</t>
    </r>
    <phoneticPr fontId="2" type="noConversion"/>
  </si>
  <si>
    <r>
      <t>12</t>
    </r>
    <r>
      <rPr>
        <sz val="11"/>
        <color theme="1"/>
        <rFont val="宋体"/>
        <family val="2"/>
        <charset val="134"/>
        <scheme val="minor"/>
      </rPr>
      <t>. 复用度</t>
    </r>
    <phoneticPr fontId="2" type="noConversion"/>
  </si>
  <si>
    <r>
      <t>1</t>
    </r>
    <r>
      <rPr>
        <sz val="11"/>
        <color theme="1"/>
        <rFont val="宋体"/>
        <family val="2"/>
        <charset val="134"/>
        <scheme val="minor"/>
      </rPr>
      <t>3</t>
    </r>
    <r>
      <rPr>
        <sz val="11"/>
        <color theme="1"/>
        <rFont val="宋体"/>
        <family val="2"/>
        <charset val="134"/>
        <scheme val="minor"/>
      </rPr>
      <t>. 多语言沟通</t>
    </r>
    <phoneticPr fontId="2" type="noConversion"/>
  </si>
  <si>
    <r>
      <t>1</t>
    </r>
    <r>
      <rPr>
        <sz val="11"/>
        <color theme="1"/>
        <rFont val="宋体"/>
        <family val="2"/>
        <charset val="134"/>
        <scheme val="minor"/>
      </rPr>
      <t>4</t>
    </r>
    <r>
      <rPr>
        <sz val="11"/>
        <color theme="1"/>
        <rFont val="宋体"/>
        <family val="2"/>
        <charset val="134"/>
        <scheme val="minor"/>
      </rPr>
      <t>. 团队经验</t>
    </r>
    <phoneticPr fontId="2" type="noConversion"/>
  </si>
  <si>
    <r>
      <t xml:space="preserve">15. </t>
    </r>
    <r>
      <rPr>
        <sz val="11"/>
        <color theme="1"/>
        <rFont val="微软雅黑"/>
        <family val="2"/>
        <charset val="134"/>
      </rPr>
      <t>多地协同</t>
    </r>
    <phoneticPr fontId="2" type="noConversion"/>
  </si>
  <si>
    <r>
      <t>1</t>
    </r>
    <r>
      <rPr>
        <sz val="11"/>
        <color theme="1"/>
        <rFont val="宋体"/>
        <family val="2"/>
        <charset val="134"/>
        <scheme val="minor"/>
      </rPr>
      <t>6</t>
    </r>
    <r>
      <rPr>
        <sz val="11"/>
        <color theme="1"/>
        <rFont val="宋体"/>
        <family val="2"/>
        <charset val="134"/>
        <scheme val="minor"/>
      </rPr>
      <t>. 业务/应用领域</t>
    </r>
    <phoneticPr fontId="2" type="noConversion"/>
  </si>
  <si>
    <r>
      <t>智能信息</t>
    </r>
    <r>
      <rPr>
        <sz val="10.5"/>
        <rFont val="宋体"/>
        <family val="2"/>
        <charset val="134"/>
        <scheme val="minor"/>
      </rPr>
      <t xml:space="preserve"> -自然语言处理，人工智能，专家系统, </t>
    </r>
    <phoneticPr fontId="2" type="noConversion"/>
  </si>
  <si>
    <r>
      <t xml:space="preserve">    </t>
    </r>
    <r>
      <rPr>
        <sz val="11"/>
        <color theme="1"/>
        <rFont val="等线"/>
        <family val="2"/>
      </rPr>
      <t>国际</t>
    </r>
    <r>
      <rPr>
        <sz val="10.5"/>
        <color rgb="FF333333"/>
        <rFont val="宋体"/>
        <family val="2"/>
        <scheme val="minor"/>
      </rPr>
      <t>IFPUG</t>
    </r>
    <r>
      <rPr>
        <sz val="10.5"/>
        <color rgb="FF333333"/>
        <rFont val="微软雅黑"/>
        <family val="2"/>
        <charset val="134"/>
      </rPr>
      <t>组织将软件项目分为三类，功能点估算法适用于任何一类项目，其计算公式中的术语请详见表</t>
    </r>
    <r>
      <rPr>
        <sz val="10.5"/>
        <color rgb="FF333333"/>
        <rFont val="宋体"/>
        <family val="2"/>
        <scheme val="minor"/>
      </rPr>
      <t>1</t>
    </r>
    <r>
      <rPr>
        <sz val="10.5"/>
        <color rgb="FF333333"/>
        <rFont val="微软雅黑"/>
        <family val="2"/>
        <charset val="134"/>
      </rPr>
      <t>。在Haier，我们将</t>
    </r>
    <r>
      <rPr>
        <b/>
        <sz val="10.5"/>
        <color rgb="FF333333"/>
        <rFont val="微软雅黑"/>
        <family val="2"/>
        <charset val="134"/>
      </rPr>
      <t>二次开发项目</t>
    </r>
    <r>
      <rPr>
        <sz val="10.5"/>
        <color rgb="FF333333"/>
        <rFont val="微软雅黑"/>
        <family val="2"/>
        <charset val="134"/>
      </rPr>
      <t>和</t>
    </r>
    <r>
      <rPr>
        <b/>
        <sz val="10.5"/>
        <color rgb="FF333333"/>
        <rFont val="微软雅黑"/>
        <family val="2"/>
        <charset val="134"/>
      </rPr>
      <t>功能增强项目</t>
    </r>
    <r>
      <rPr>
        <sz val="10.5"/>
        <color rgb="FF333333"/>
        <rFont val="微软雅黑"/>
        <family val="2"/>
        <charset val="134"/>
      </rPr>
      <t>统一为</t>
    </r>
    <r>
      <rPr>
        <b/>
        <sz val="10.5"/>
        <color rgb="FF333333"/>
        <rFont val="微软雅黑"/>
        <family val="2"/>
        <charset val="134"/>
      </rPr>
      <t>开发运维项目</t>
    </r>
    <r>
      <rPr>
        <sz val="10.5"/>
        <color rgb="FF333333"/>
        <rFont val="微软雅黑"/>
        <family val="2"/>
        <charset val="134"/>
      </rPr>
      <t>。</t>
    </r>
    <phoneticPr fontId="2" type="noConversion"/>
  </si>
  <si>
    <r>
      <t>    FP Count = [</t>
    </r>
    <r>
      <rPr>
        <sz val="11"/>
        <color theme="1"/>
        <rFont val="微软雅黑"/>
        <family val="2"/>
        <charset val="134"/>
      </rPr>
      <t>（</t>
    </r>
    <r>
      <rPr>
        <sz val="11"/>
        <color theme="1"/>
        <rFont val="宋体"/>
        <family val="2"/>
        <scheme val="minor"/>
      </rPr>
      <t>ADD+CHGA+CFP</t>
    </r>
    <r>
      <rPr>
        <sz val="11"/>
        <color theme="1"/>
        <rFont val="微软雅黑"/>
        <family val="2"/>
        <charset val="134"/>
      </rPr>
      <t>）</t>
    </r>
    <r>
      <rPr>
        <sz val="11"/>
        <color theme="1"/>
        <rFont val="宋体"/>
        <family val="2"/>
        <scheme val="minor"/>
      </rPr>
      <t>* VAFA]+</t>
    </r>
    <r>
      <rPr>
        <sz val="11"/>
        <color theme="1"/>
        <rFont val="微软雅黑"/>
        <family val="2"/>
        <charset val="134"/>
      </rPr>
      <t>（</t>
    </r>
    <r>
      <rPr>
        <sz val="11"/>
        <color theme="1"/>
        <rFont val="宋体"/>
        <family val="2"/>
        <scheme val="minor"/>
      </rPr>
      <t>DEL * VAFB</t>
    </r>
    <r>
      <rPr>
        <sz val="11"/>
        <color theme="1"/>
        <rFont val="微软雅黑"/>
        <family val="2"/>
        <charset val="134"/>
      </rPr>
      <t>）</t>
    </r>
    <phoneticPr fontId="2" type="noConversion"/>
  </si>
  <si>
    <r>
      <t>VAF=</t>
    </r>
    <r>
      <rPr>
        <sz val="11"/>
        <color theme="1"/>
        <rFont val="宋体"/>
        <family val="3"/>
        <charset val="134"/>
        <scheme val="minor"/>
      </rPr>
      <t>（</t>
    </r>
    <r>
      <rPr>
        <sz val="11"/>
        <color theme="1"/>
        <rFont val="宋体"/>
        <family val="2"/>
        <scheme val="minor"/>
      </rPr>
      <t>sum of</t>
    </r>
    <r>
      <rPr>
        <sz val="11"/>
        <color theme="1"/>
        <rFont val="宋体"/>
        <family val="3"/>
        <charset val="134"/>
        <scheme val="minor"/>
      </rPr>
      <t>（</t>
    </r>
    <r>
      <rPr>
        <sz val="11"/>
        <color theme="1"/>
        <rFont val="宋体"/>
        <family val="2"/>
        <scheme val="minor"/>
      </rPr>
      <t>DI</t>
    </r>
    <r>
      <rPr>
        <sz val="11"/>
        <color theme="1"/>
        <rFont val="宋体"/>
        <family val="3"/>
        <charset val="134"/>
        <scheme val="minor"/>
      </rPr>
      <t>）</t>
    </r>
    <r>
      <rPr>
        <sz val="11"/>
        <color theme="1"/>
        <rFont val="宋体"/>
        <family val="2"/>
        <scheme val="minor"/>
      </rPr>
      <t>* 0.01</t>
    </r>
    <r>
      <rPr>
        <sz val="11"/>
        <color theme="1"/>
        <rFont val="宋体"/>
        <family val="3"/>
        <charset val="134"/>
        <scheme val="minor"/>
      </rPr>
      <t>）</t>
    </r>
    <r>
      <rPr>
        <sz val="11"/>
        <color theme="1"/>
        <rFont val="宋体"/>
        <family val="2"/>
        <scheme val="minor"/>
      </rPr>
      <t>+ 0.65</t>
    </r>
    <r>
      <rPr>
        <sz val="11"/>
        <color theme="1"/>
        <rFont val="宋体"/>
        <family val="3"/>
        <charset val="134"/>
        <scheme val="minor"/>
      </rPr>
      <t>，</t>
    </r>
    <r>
      <rPr>
        <sz val="11"/>
        <color theme="1"/>
        <rFont val="宋体"/>
        <family val="2"/>
        <scheme val="minor"/>
      </rPr>
      <t xml:space="preserve"> 
</t>
    </r>
    <r>
      <rPr>
        <sz val="11"/>
        <color theme="1"/>
        <rFont val="宋体"/>
        <family val="3"/>
        <charset val="134"/>
        <scheme val="minor"/>
      </rPr>
      <t>根据华泰的情况，移除两项系统因子，因子公式改为</t>
    </r>
    <r>
      <rPr>
        <sz val="11"/>
        <color theme="1"/>
        <rFont val="宋体"/>
        <family val="2"/>
        <scheme val="minor"/>
      </rPr>
      <t>VAF=</t>
    </r>
    <r>
      <rPr>
        <sz val="11"/>
        <color theme="1"/>
        <rFont val="宋体"/>
        <family val="3"/>
        <charset val="134"/>
        <scheme val="minor"/>
      </rPr>
      <t>（</t>
    </r>
    <r>
      <rPr>
        <sz val="11"/>
        <color theme="1"/>
        <rFont val="宋体"/>
        <family val="2"/>
        <scheme val="minor"/>
      </rPr>
      <t>sum of</t>
    </r>
    <r>
      <rPr>
        <sz val="11"/>
        <color theme="1"/>
        <rFont val="宋体"/>
        <family val="3"/>
        <charset val="134"/>
        <scheme val="minor"/>
      </rPr>
      <t>（</t>
    </r>
    <r>
      <rPr>
        <sz val="11"/>
        <color theme="1"/>
        <rFont val="宋体"/>
        <family val="2"/>
        <scheme val="minor"/>
      </rPr>
      <t>DI</t>
    </r>
    <r>
      <rPr>
        <sz val="11"/>
        <color theme="1"/>
        <rFont val="宋体"/>
        <family val="3"/>
        <charset val="134"/>
        <scheme val="minor"/>
      </rPr>
      <t>）</t>
    </r>
    <r>
      <rPr>
        <sz val="11"/>
        <color theme="1"/>
        <rFont val="宋体"/>
        <family val="2"/>
        <scheme val="minor"/>
      </rPr>
      <t>* 0.01</t>
    </r>
    <r>
      <rPr>
        <sz val="11"/>
        <color theme="1"/>
        <rFont val="宋体"/>
        <family val="3"/>
        <charset val="134"/>
        <scheme val="minor"/>
      </rPr>
      <t>）</t>
    </r>
    <r>
      <rPr>
        <sz val="11"/>
        <color theme="1"/>
        <rFont val="宋体"/>
        <family val="2"/>
        <scheme val="minor"/>
      </rPr>
      <t>+ 0.70</t>
    </r>
    <phoneticPr fontId="2" type="noConversion"/>
  </si>
  <si>
    <t>逻辑文件</t>
    <phoneticPr fontId="2" type="noConversion"/>
  </si>
  <si>
    <t>模型复用度</t>
    <phoneticPr fontId="2" type="noConversion"/>
  </si>
  <si>
    <t>FPA估算(Pt)</t>
    <phoneticPr fontId="2" type="noConversion"/>
  </si>
  <si>
    <t>终值（Pt）</t>
    <phoneticPr fontId="2" type="noConversion"/>
  </si>
  <si>
    <t>模型总计（Pt）</t>
    <phoneticPr fontId="2" type="noConversion"/>
  </si>
  <si>
    <t>MISA-2225</t>
    <phoneticPr fontId="2" type="noConversion"/>
  </si>
  <si>
    <t>休眠账户激活</t>
    <phoneticPr fontId="2" type="noConversion"/>
  </si>
  <si>
    <t>资料填写-查询资产账户</t>
    <phoneticPr fontId="2" type="noConversion"/>
  </si>
  <si>
    <t>资料填写-查询股东账户</t>
    <phoneticPr fontId="2" type="noConversion"/>
  </si>
  <si>
    <t>资料填写-中登证券账户查询</t>
    <phoneticPr fontId="2" type="noConversion"/>
  </si>
  <si>
    <t>资料填写-查询银行账户</t>
    <phoneticPr fontId="2" type="noConversion"/>
  </si>
  <si>
    <t>资料填写-柜台接口-201044</t>
    <phoneticPr fontId="2" type="noConversion"/>
  </si>
  <si>
    <t>资料填写-查询银行参数</t>
    <phoneticPr fontId="2" type="noConversion"/>
  </si>
  <si>
    <t>资料填写-保存</t>
    <phoneticPr fontId="2" type="noConversion"/>
  </si>
  <si>
    <t>影像扫描-电子化签名</t>
    <phoneticPr fontId="2" type="noConversion"/>
  </si>
  <si>
    <t>影像扫描-电子化签名提交</t>
    <phoneticPr fontId="2" type="noConversion"/>
  </si>
  <si>
    <t>影像扫描-动态检测</t>
    <phoneticPr fontId="2" type="noConversion"/>
  </si>
  <si>
    <t>影像扫描-影像上传</t>
    <phoneticPr fontId="2" type="noConversion"/>
  </si>
  <si>
    <t>影像扫描-影像下载</t>
    <phoneticPr fontId="2" type="noConversion"/>
  </si>
  <si>
    <t>影像扫描-保存</t>
    <phoneticPr fontId="2" type="noConversion"/>
  </si>
  <si>
    <t>业务见证-双录上传</t>
    <phoneticPr fontId="2" type="noConversion"/>
  </si>
  <si>
    <t>业务见证-视频见证</t>
    <phoneticPr fontId="2" type="noConversion"/>
  </si>
  <si>
    <t>业务见证-双人见证</t>
    <phoneticPr fontId="2" type="noConversion"/>
  </si>
  <si>
    <t>业务提交</t>
    <phoneticPr fontId="2" type="noConversion"/>
  </si>
  <si>
    <t>MISA-2225</t>
    <phoneticPr fontId="2" type="noConversion"/>
  </si>
  <si>
    <t>股票质押式回购权限开通</t>
    <phoneticPr fontId="2" type="noConversion"/>
  </si>
  <si>
    <t>资料填写-使用信息查询</t>
    <phoneticPr fontId="2" type="noConversion"/>
  </si>
  <si>
    <t>资料填写-在途回购业务查询</t>
    <phoneticPr fontId="2" type="noConversion"/>
  </si>
  <si>
    <t>资料填写-查询股东账户</t>
    <phoneticPr fontId="2" type="noConversion"/>
  </si>
  <si>
    <t>资料填写-查询资产账户</t>
    <phoneticPr fontId="2" type="noConversion"/>
  </si>
  <si>
    <t>资料填写-查询银行账户</t>
    <phoneticPr fontId="2" type="noConversion"/>
  </si>
  <si>
    <t>资料填写-查询银行参数</t>
    <phoneticPr fontId="2" type="noConversion"/>
  </si>
  <si>
    <t>资料填写-保存</t>
    <phoneticPr fontId="2" type="noConversion"/>
  </si>
  <si>
    <t>影像扫描-电子化签名</t>
    <phoneticPr fontId="2" type="noConversion"/>
  </si>
  <si>
    <t>影像扫描-电子化签名提交</t>
    <phoneticPr fontId="2" type="noConversion"/>
  </si>
  <si>
    <t>影像扫描-动态检测</t>
    <phoneticPr fontId="2" type="noConversion"/>
  </si>
  <si>
    <t>影像扫描-影像上传</t>
    <phoneticPr fontId="2" type="noConversion"/>
  </si>
  <si>
    <t>影像扫描-影像下载</t>
    <phoneticPr fontId="2" type="noConversion"/>
  </si>
  <si>
    <t>影像扫描-保存</t>
    <phoneticPr fontId="2" type="noConversion"/>
  </si>
  <si>
    <t>深圳股票转托管</t>
    <phoneticPr fontId="2" type="noConversion"/>
  </si>
  <si>
    <t>资料填写-查询持仓</t>
    <phoneticPr fontId="2" type="noConversion"/>
  </si>
  <si>
    <t>资料填写-查询券商代码对照</t>
    <phoneticPr fontId="2" type="noConversion"/>
  </si>
  <si>
    <t>资料填写-交易密码校验</t>
    <phoneticPr fontId="2" type="noConversion"/>
  </si>
  <si>
    <t>资料填写-单笔转托管检查</t>
    <phoneticPr fontId="2" type="noConversion"/>
  </si>
  <si>
    <t>资料填写-全部转托管检查</t>
    <phoneticPr fontId="2" type="noConversion"/>
  </si>
  <si>
    <t>高管股份转托管</t>
    <phoneticPr fontId="2" type="noConversion"/>
  </si>
  <si>
    <t>资料填写-查询可转额度</t>
    <phoneticPr fontId="2" type="noConversion"/>
  </si>
  <si>
    <t>客户账户销户</t>
    <phoneticPr fontId="2" type="noConversion"/>
  </si>
  <si>
    <t>资料填写-查询资产账户</t>
    <phoneticPr fontId="2" type="noConversion"/>
  </si>
  <si>
    <t>资料填写-柜台接口-521342</t>
    <phoneticPr fontId="2" type="noConversion"/>
  </si>
  <si>
    <t>MISA-2486</t>
    <phoneticPr fontId="2" type="noConversion"/>
  </si>
  <si>
    <t>身份证有效期检验白名单功能(2018-3批量需求)</t>
    <phoneticPr fontId="2" type="noConversion"/>
  </si>
  <si>
    <t xml:space="preserve">
1、查询员工允许受理业务、线下二次业务-业务前检查接口， 增加读卡证件起始日期、读卡证件截止日期入参，若客户登录为读卡登录，则将获取到的身份证起始日期、截止日期送入相关入参。
2、线下开户、客户信息修改，若客户证件起始日期、截止日期由读卡读出，则展示读卡后内容并禁止修改，并且跳过原有效期与年龄适配的判断逻辑。
</t>
    <phoneticPr fontId="2" type="noConversion"/>
  </si>
  <si>
    <t>MISA-2474</t>
    <phoneticPr fontId="2" type="noConversion"/>
  </si>
  <si>
    <t>关于优化视频见证功能的需求</t>
    <phoneticPr fontId="2" type="noConversion"/>
  </si>
  <si>
    <t xml:space="preserve">
1、二次业务受理端根据返回的允许见证方式判断，若允许见证方式中包含双录见证，则在业务见证前，增加双录影音步骤，页面顺序为：资料填写、协议签署、双录影音、业务见证。若不包含双录见证，则进入业务见证步骤，若无其他见证方式，则协议签署后直接提交。注意新增步骤需记录操作流水。
2、若双录影音选择稍后双录，则双录影音和业务见证步骤都由稍后双录人员操作。
3、二次业务退回，若只有双录被退回，则直接进入双录影音步骤。
4、业务见证页面，增加稍后见证，选择后无需调接口，直接回到首页。
5、二次业务列表中，判断若该业务的CLZT IN(2,13)  and SLSLR!=受理人，则在继续/终止 时弹出提示“该业务已转他人处理”。
6、批量见证，只有状态为2|待见证业务方可批量见证，并且根据所选择的见证方式进行过滤，若该业务无对应见证方式以及双录受理人!=受理人，则禁止选择。
7、员工首页调整二次业务状态排序位置，按照：新受理、待扫描、待双录、待见证、待修改、待确认、待办理、待复核、后台处理中。其中待双录的总数角标改为红色。
 8、客户首页功能导航增加待修改、后台处理中。
</t>
    <phoneticPr fontId="2" type="noConversion"/>
  </si>
  <si>
    <t>新增一个独立的双录界面</t>
    <phoneticPr fontId="2" type="noConversion"/>
  </si>
  <si>
    <t>支持转双录</t>
    <phoneticPr fontId="2" type="noConversion"/>
  </si>
  <si>
    <t>记录双录及转双录操作流水</t>
    <phoneticPr fontId="2" type="noConversion"/>
  </si>
  <si>
    <t>影像采集下一步逻辑变更为根据参数控制</t>
    <phoneticPr fontId="2" type="noConversion"/>
  </si>
  <si>
    <t>双录界面下一步逻辑变更为根据参数控制</t>
    <phoneticPr fontId="2" type="noConversion"/>
  </si>
  <si>
    <t>支持退回整改</t>
    <phoneticPr fontId="2" type="noConversion"/>
  </si>
  <si>
    <t>查询员工允许受理业务、线下二次业务-业务前检查接口， 增加读卡证件起始日期、读卡证件截止日期入参，若客户登录为读卡登录，则将获取到的身份证起始日期、截止日期送入相关入参。</t>
    <phoneticPr fontId="2" type="noConversion"/>
  </si>
  <si>
    <t>线下开户，若客户证件起始日期、截止日期由读卡读出，则展示读卡后内容并禁止修改，并且跳过原有效期与年龄适配的判断逻辑。</t>
    <phoneticPr fontId="2" type="noConversion"/>
  </si>
  <si>
    <t>客户信息修改，若客户证件起始日期、截止日期由读卡读出，则展示读卡后内容并禁止修改，并且跳过原有效期与年龄适配的判断逻辑。</t>
    <phoneticPr fontId="2" type="noConversion"/>
  </si>
  <si>
    <t>二次业务列表中，判断若该业务的CLZT IN(2,13)  and SLSLR!=受理人，则在继续/终止 时弹出提示“该业务已转他人处理”。</t>
    <phoneticPr fontId="2" type="noConversion"/>
  </si>
  <si>
    <t>批量见证，只有状态为2|待见证业务方可批量见证，并且根据所选择的见证方式进行过滤，若该业务无对应见证方式以及双录受理人!=受理人，则禁止选择。</t>
    <phoneticPr fontId="2" type="noConversion"/>
  </si>
  <si>
    <t>员工首页调整二次业务状态排序位置，按照：新受理、待扫描、待双录、待见证、待修改、待确认、待办理、待复核、后台处理中。其中待双录的总数角标改为红色。</t>
    <phoneticPr fontId="2" type="noConversion"/>
  </si>
  <si>
    <t>客户首页功能导航增加待修改、后台处理中。</t>
    <phoneticPr fontId="2" type="noConversion"/>
  </si>
  <si>
    <t>MISA-2225</t>
    <phoneticPr fontId="2" type="noConversion"/>
  </si>
  <si>
    <t>部分功能优化</t>
    <phoneticPr fontId="2" type="noConversion"/>
  </si>
  <si>
    <r>
      <t xml:space="preserve">
1、操作账户列表未选择点击下一步时，列表外框需标注红色。
</t>
    </r>
    <r>
      <rPr>
        <sz val="10.5"/>
        <rFont val="宋体"/>
        <family val="3"/>
        <charset val="134"/>
      </rPr>
      <t>2</t>
    </r>
    <r>
      <rPr>
        <sz val="10.5"/>
        <rFont val="宋体"/>
        <family val="3"/>
        <charset val="134"/>
      </rPr>
      <t>、二次业务业务详情页面接口调用逻辑调整，查询当前处理人、查询业务处理结果等增加</t>
    </r>
    <r>
      <rPr>
        <sz val="10.5"/>
        <rFont val="宋体"/>
        <family val="3"/>
        <charset val="134"/>
      </rPr>
      <t>CLZT</t>
    </r>
    <r>
      <rPr>
        <sz val="10.5"/>
        <rFont val="宋体"/>
        <family val="3"/>
        <charset val="134"/>
      </rPr>
      <t>判断，不满足条件时不调接口。根据查询业务申请信息返回的</t>
    </r>
    <r>
      <rPr>
        <sz val="10.5"/>
        <rFont val="宋体"/>
        <family val="3"/>
        <charset val="134"/>
      </rPr>
      <t>rwlsh</t>
    </r>
    <r>
      <rPr>
        <sz val="10.5"/>
        <rFont val="宋体"/>
        <family val="3"/>
        <charset val="134"/>
      </rPr>
      <t xml:space="preserve">是否为空判断是调查询业务处理结果还是任务执行状态查询接口展示结果，任务执行状态查询结果需按树形目录排序展示，子任务前空一格以区分父子任务。
</t>
    </r>
    <r>
      <rPr>
        <sz val="10.5"/>
        <rFont val="宋体"/>
        <family val="3"/>
        <charset val="134"/>
      </rPr>
      <t>3</t>
    </r>
    <r>
      <rPr>
        <sz val="10.5"/>
        <rFont val="宋体"/>
        <family val="3"/>
        <charset val="134"/>
      </rPr>
      <t xml:space="preserve">、所有单选框，如果是必选，且只有一个选择，那就默认选中。
</t>
    </r>
    <r>
      <rPr>
        <sz val="10.5"/>
        <rFont val="宋体"/>
        <family val="3"/>
        <charset val="134"/>
      </rPr>
      <t>4</t>
    </r>
    <r>
      <rPr>
        <sz val="10.5"/>
        <rFont val="宋体"/>
        <family val="3"/>
        <charset val="134"/>
      </rPr>
      <t xml:space="preserve">、客户信息修改及线下开户系统（含退回页面）产品户：产品日期为必填；修改原产品编码与产品类别间展示方式的联动控制，页面一直展示“产品编码”字段，当产品类别为“私募基金、期货资产管理产品（多客户）、期货资产管理产品（单一）”时，联动控制产品编码为必填，其他产品类别为非必填。
</t>
    </r>
    <r>
      <rPr>
        <sz val="10.5"/>
        <rFont val="宋体"/>
        <family val="3"/>
        <charset val="134"/>
      </rPr>
      <t>5</t>
    </r>
    <r>
      <rPr>
        <sz val="10.5"/>
        <rFont val="宋体"/>
        <family val="3"/>
        <charset val="134"/>
      </rPr>
      <t>、视频见证时送给座席端的客户信息</t>
    </r>
    <r>
      <rPr>
        <sz val="10.5"/>
        <rFont val="宋体"/>
        <family val="3"/>
        <charset val="134"/>
      </rPr>
      <t>url</t>
    </r>
    <r>
      <rPr>
        <sz val="10.5"/>
        <rFont val="宋体"/>
        <family val="3"/>
        <charset val="134"/>
      </rPr>
      <t xml:space="preserve">，需加密处理。
</t>
    </r>
    <phoneticPr fontId="2" type="noConversion"/>
  </si>
  <si>
    <t>操作账户列表未选择点击下一步时，列表外框需标注红色。</t>
    <phoneticPr fontId="2" type="noConversion"/>
  </si>
  <si>
    <t>二次业务业务详情页面接口调用逻辑调整，查询当前处理人、查询业务处理结果等增加CLZT判断，不满足条件时不调接口。根据查询业务申请信息返回的rwlsh是否为空判断是调查询业务处理结果还是任务执行状态查询接口展示结果，任务执行状态查询结果需按树形目录排序展示，子任务前空一格以区分父子任务。</t>
    <phoneticPr fontId="2" type="noConversion"/>
  </si>
  <si>
    <t>客户信息修改及线下开户系统（含退回页面）产品户：产品日期为必填；修改原产品编码与产品类别间展示方式的联动控制，页面一直展示“产品编码”字段，当产品类别为“私募基金、期货资产管理产品（多客户）、期货资产管理产品（单一）”时，联动控制产品编码为必填，其他产品类别为非必填。</t>
    <phoneticPr fontId="2" type="noConversion"/>
  </si>
  <si>
    <t>视频见证时送给座席端的客户信息url，需加密处理。</t>
    <phoneticPr fontId="2" type="noConversion"/>
  </si>
  <si>
    <t>MISA-2642</t>
    <phoneticPr fontId="2" type="noConversion"/>
  </si>
  <si>
    <t>资金结息功能开发</t>
    <phoneticPr fontId="2" type="noConversion"/>
  </si>
  <si>
    <t>资料填写-柜台接口-201044</t>
    <phoneticPr fontId="2" type="noConversion"/>
  </si>
  <si>
    <t>资料填写-保存</t>
    <phoneticPr fontId="2" type="noConversion"/>
  </si>
  <si>
    <t>影像扫描-电子化签名</t>
    <phoneticPr fontId="2" type="noConversion"/>
  </si>
  <si>
    <t>影像扫描-电子化签名提交</t>
    <phoneticPr fontId="2" type="noConversion"/>
  </si>
  <si>
    <t>影像扫描-动态检测</t>
    <phoneticPr fontId="2" type="noConversion"/>
  </si>
  <si>
    <t>影像扫描-影像上传</t>
    <phoneticPr fontId="2" type="noConversion"/>
  </si>
  <si>
    <t>影像扫描-影像下载</t>
    <phoneticPr fontId="2" type="noConversion"/>
  </si>
  <si>
    <t>影像扫描-保存</t>
    <phoneticPr fontId="2" type="noConversion"/>
  </si>
  <si>
    <t>业务见证-双录上传</t>
    <phoneticPr fontId="2" type="noConversion"/>
  </si>
  <si>
    <t>业务见证-视频见证</t>
    <phoneticPr fontId="2" type="noConversion"/>
  </si>
  <si>
    <t>业务见证-双人见证</t>
    <phoneticPr fontId="2" type="noConversion"/>
  </si>
  <si>
    <t>业务提交</t>
    <phoneticPr fontId="2" type="noConversion"/>
  </si>
  <si>
    <t>MISA-2641</t>
    <phoneticPr fontId="2" type="noConversion"/>
  </si>
  <si>
    <t>转账账户销户功能开发</t>
    <phoneticPr fontId="2" type="noConversion"/>
  </si>
  <si>
    <t>资料填写-查询银行账户</t>
    <phoneticPr fontId="2" type="noConversion"/>
  </si>
  <si>
    <t>资料填写-查询银行参数</t>
    <phoneticPr fontId="2" type="noConversion"/>
  </si>
  <si>
    <t>资料填写-柜台接口-380503</t>
    <phoneticPr fontId="2" type="noConversion"/>
  </si>
  <si>
    <t>资料填写-保存</t>
    <phoneticPr fontId="2" type="noConversion"/>
  </si>
  <si>
    <t>影像扫描-电子化签名</t>
    <phoneticPr fontId="2" type="noConversion"/>
  </si>
  <si>
    <t>影像扫描-电子化签名提交</t>
    <phoneticPr fontId="2" type="noConversion"/>
  </si>
  <si>
    <t>影像扫描-动态检测</t>
    <phoneticPr fontId="2" type="noConversion"/>
  </si>
  <si>
    <t>影像扫描-影像上传</t>
    <phoneticPr fontId="2" type="noConversion"/>
  </si>
  <si>
    <t>MISA-2639</t>
    <phoneticPr fontId="2" type="noConversion"/>
  </si>
  <si>
    <t>信用联合销户功能开发</t>
    <phoneticPr fontId="2" type="noConversion"/>
  </si>
  <si>
    <t>资料填写-查询资产账户</t>
    <phoneticPr fontId="2" type="noConversion"/>
  </si>
  <si>
    <t>资料填写-查询股东账户</t>
    <phoneticPr fontId="2" type="noConversion"/>
  </si>
  <si>
    <t>资料填写-柜台接口-530208</t>
    <phoneticPr fontId="2" type="noConversion"/>
  </si>
  <si>
    <t>MISA-2640</t>
    <phoneticPr fontId="2" type="noConversion"/>
  </si>
  <si>
    <t>股票期权联合销户功能开发</t>
    <phoneticPr fontId="2" type="noConversion"/>
  </si>
  <si>
    <t>资料填写-柜台接口-530209</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</si>
</sst>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0_ "/>
    <numFmt numFmtId="177" formatCode="0.0_);[Red]\(0.0\)"/>
    <numFmt numFmtId="178" formatCode="0_ "/>
    <numFmt numFmtId="179" formatCode="0.0000_ "/>
  </numFmts>
  <fonts count="49">
    <font>
      <sz val="11"/>
      <color theme="1"/>
      <name val="宋体"/>
      <family val="2"/>
      <scheme val="minor"/>
    </font>
    <font>
      <sz val="11"/>
      <color theme="1"/>
      <name val="宋体"/>
      <family val="2"/>
      <charset val="134"/>
      <scheme val="minor"/>
    </font>
    <font>
      <sz val="9"/>
      <name val="宋体"/>
      <family val="3"/>
      <charset val="134"/>
      <scheme val="minor"/>
    </font>
    <font>
      <b/>
      <sz val="9"/>
      <color indexed="81"/>
      <name val="宋体"/>
      <family val="3"/>
      <charset val="134"/>
    </font>
    <font>
      <sz val="9"/>
      <color indexed="81"/>
      <name val="宋体"/>
      <family val="3"/>
      <charset val="134"/>
    </font>
    <font>
      <sz val="11"/>
      <color theme="1"/>
      <name val="微软雅黑"/>
      <family val="2"/>
      <charset val="134"/>
    </font>
    <font>
      <sz val="10.5"/>
      <color rgb="FF333333"/>
      <name val="微软雅黑"/>
      <family val="2"/>
      <charset val="134"/>
    </font>
    <font>
      <b/>
      <sz val="10.5"/>
      <color rgb="FF333333"/>
      <name val="微软雅黑"/>
      <family val="2"/>
      <charset val="134"/>
    </font>
    <font>
      <sz val="11"/>
      <color theme="1"/>
      <name val="等线"/>
      <family val="2"/>
    </font>
    <font>
      <b/>
      <sz val="11"/>
      <color theme="1"/>
      <name val="宋体"/>
      <family val="2"/>
      <charset val="134"/>
      <scheme val="minor"/>
    </font>
    <font>
      <sz val="11"/>
      <color theme="1"/>
      <name val="宋体"/>
      <family val="3"/>
      <charset val="134"/>
      <scheme val="minor"/>
    </font>
    <font>
      <sz val="10.5"/>
      <color rgb="FF333333"/>
      <name val="宋体"/>
      <family val="2"/>
      <scheme val="minor"/>
    </font>
    <font>
      <sz val="10.5"/>
      <name val="宋体"/>
      <family val="2"/>
      <charset val="134"/>
      <scheme val="minor"/>
    </font>
    <font>
      <b/>
      <sz val="10"/>
      <color theme="1"/>
      <name val="微软雅黑"/>
      <family val="2"/>
      <charset val="134"/>
    </font>
    <font>
      <sz val="11"/>
      <color theme="1"/>
      <name val="Arial"/>
      <family val="2"/>
    </font>
    <font>
      <sz val="10.5"/>
      <color rgb="FF333333"/>
      <name val="微软雅黑"/>
      <family val="2"/>
      <charset val="134"/>
    </font>
    <font>
      <sz val="11"/>
      <color theme="1"/>
      <name val="微软雅黑"/>
      <family val="2"/>
      <charset val="134"/>
    </font>
    <font>
      <b/>
      <sz val="10.5"/>
      <color rgb="FF333333"/>
      <name val="微软雅黑"/>
      <family val="2"/>
      <charset val="134"/>
    </font>
    <font>
      <sz val="10.5"/>
      <color rgb="FF333333"/>
      <name val="Arial"/>
      <family val="2"/>
    </font>
    <font>
      <sz val="11"/>
      <color rgb="FF333333"/>
      <name val="微软雅黑"/>
      <family val="2"/>
      <charset val="134"/>
    </font>
    <font>
      <b/>
      <sz val="10.5"/>
      <color rgb="FF333333"/>
      <name val="Arial"/>
      <family val="2"/>
    </font>
    <font>
      <b/>
      <sz val="11"/>
      <color theme="1"/>
      <name val="微软雅黑"/>
      <family val="2"/>
      <charset val="134"/>
    </font>
    <font>
      <sz val="10.5"/>
      <name val="微软雅黑"/>
      <family val="2"/>
      <charset val="134"/>
    </font>
    <font>
      <sz val="11.5"/>
      <color rgb="FF000000"/>
      <name val="微软雅黑"/>
      <family val="2"/>
      <charset val="134"/>
    </font>
    <font>
      <sz val="10.5"/>
      <name val="Calibri"/>
      <family val="2"/>
    </font>
    <font>
      <sz val="10.5"/>
      <name val="宋体"/>
      <family val="3"/>
      <charset val="134"/>
    </font>
    <font>
      <sz val="9"/>
      <color rgb="FF0033CC"/>
      <name val="Franklin Gothic Book"/>
      <family val="2"/>
    </font>
    <font>
      <sz val="11"/>
      <color rgb="FF0033CC"/>
      <name val="Franklin Gothic Book"/>
      <family val="2"/>
    </font>
    <font>
      <sz val="11"/>
      <color theme="1"/>
      <name val="宋体"/>
      <family val="3"/>
      <charset val="134"/>
    </font>
    <font>
      <b/>
      <sz val="11"/>
      <color theme="1"/>
      <name val="Arial"/>
      <family val="2"/>
    </font>
    <font>
      <b/>
      <sz val="12"/>
      <color theme="1"/>
      <name val="微软雅黑"/>
      <family val="2"/>
      <charset val="134"/>
    </font>
    <font>
      <b/>
      <sz val="11"/>
      <color theme="1"/>
      <name val="微软雅黑"/>
      <family val="2"/>
      <charset val="134"/>
    </font>
    <font>
      <sz val="11"/>
      <color theme="1"/>
      <name val="宋体"/>
      <family val="2"/>
      <scheme val="minor"/>
    </font>
    <font>
      <b/>
      <sz val="10"/>
      <color theme="1"/>
      <name val="微软雅黑"/>
      <family val="2"/>
      <charset val="134"/>
    </font>
    <font>
      <b/>
      <sz val="10"/>
      <color rgb="FF000000"/>
      <name val="微软雅黑"/>
      <family val="2"/>
      <charset val="134"/>
    </font>
    <font>
      <sz val="10"/>
      <color rgb="FF000000"/>
      <name val="Tahoma"/>
      <family val="2"/>
    </font>
    <font>
      <b/>
      <sz val="8"/>
      <color theme="1"/>
      <name val="宋体"/>
      <family val="3"/>
      <charset val="134"/>
      <scheme val="minor"/>
    </font>
    <font>
      <sz val="8"/>
      <color theme="1"/>
      <name val="宋体"/>
      <family val="3"/>
      <charset val="134"/>
      <scheme val="minor"/>
    </font>
    <font>
      <b/>
      <sz val="8"/>
      <name val="宋体"/>
      <family val="3"/>
      <charset val="134"/>
      <scheme val="minor"/>
    </font>
    <font>
      <b/>
      <sz val="8"/>
      <name val="宋体"/>
      <family val="3"/>
      <charset val="134"/>
      <scheme val="major"/>
    </font>
    <font>
      <b/>
      <sz val="10.5"/>
      <name val="宋体"/>
      <family val="3"/>
      <charset val="134"/>
    </font>
    <font>
      <b/>
      <sz val="10.5"/>
      <color theme="1"/>
      <name val="宋体"/>
      <family val="3"/>
      <charset val="134"/>
    </font>
    <font>
      <sz val="11"/>
      <color theme="1"/>
      <name val="宋体"/>
      <family val="2"/>
      <scheme val="minor"/>
    </font>
    <font>
      <sz val="11"/>
      <color theme="1"/>
      <name val="宋体"/>
      <family val="3"/>
      <charset val="134"/>
    </font>
    <font>
      <b/>
      <sz val="12"/>
      <color theme="1"/>
      <name val="宋体"/>
      <family val="3"/>
      <charset val="134"/>
    </font>
    <font>
      <sz val="10.5"/>
      <name val="宋体"/>
      <family val="3"/>
      <charset val="134"/>
    </font>
    <font>
      <sz val="10.5"/>
      <color theme="1"/>
      <name val="宋体"/>
      <family val="3"/>
      <charset val="134"/>
    </font>
    <font>
      <sz val="12"/>
      <color theme="1"/>
      <name val="宋体"/>
      <family val="2"/>
      <scheme val="minor"/>
    </font>
    <font>
      <sz val="12"/>
      <color theme="1"/>
      <name val="新宋体"/>
      <family val="3"/>
      <charset val="134"/>
    </font>
  </fonts>
  <fills count="12">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rgb="FFDAEEF3"/>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FFFF"/>
        <bgColor indexed="64"/>
      </patternFill>
    </fill>
    <fill>
      <patternFill patternType="solid">
        <fgColor rgb="FFF2F2F2"/>
        <bgColor indexed="64"/>
      </patternFill>
    </fill>
    <fill>
      <patternFill patternType="solid">
        <fgColor theme="0"/>
        <bgColor indexed="64"/>
      </patternFill>
    </fill>
    <fill>
      <patternFill patternType="solid">
        <fgColor theme="3" tint="0.79998168889431442"/>
        <bgColor indexed="64"/>
      </patternFill>
    </fill>
    <fill>
      <patternFill patternType="solid">
        <fgColor theme="8" tint="0.79995117038483843"/>
        <bgColor indexed="64"/>
      </patternFill>
    </fill>
  </fills>
  <borders count="6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rgb="FFA3A3A3"/>
      </right>
      <top style="medium">
        <color rgb="FFA3A3A3"/>
      </top>
      <bottom style="medium">
        <color rgb="FFA3A3A3"/>
      </bottom>
      <diagonal/>
    </border>
    <border>
      <left style="medium">
        <color rgb="FFA3A3A3"/>
      </left>
      <right style="medium">
        <color indexed="64"/>
      </right>
      <top style="medium">
        <color rgb="FFA3A3A3"/>
      </top>
      <bottom style="medium">
        <color rgb="FFA3A3A3"/>
      </bottom>
      <diagonal/>
    </border>
    <border>
      <left style="medium">
        <color indexed="64"/>
      </left>
      <right style="medium">
        <color rgb="FFA3A3A3"/>
      </right>
      <top style="medium">
        <color rgb="FFA3A3A3"/>
      </top>
      <bottom style="medium">
        <color indexed="64"/>
      </bottom>
      <diagonal/>
    </border>
    <border>
      <left style="medium">
        <color rgb="FFA3A3A3"/>
      </left>
      <right style="medium">
        <color indexed="64"/>
      </right>
      <top style="medium">
        <color rgb="FFA3A3A3"/>
      </top>
      <bottom style="medium">
        <color indexed="64"/>
      </bottom>
      <diagonal/>
    </border>
    <border>
      <left style="medium">
        <color indexed="64"/>
      </left>
      <right style="medium">
        <color rgb="FFA3A3A3"/>
      </right>
      <top style="medium">
        <color rgb="FFA3A3A3"/>
      </top>
      <bottom/>
      <diagonal/>
    </border>
    <border>
      <left style="medium">
        <color rgb="FFA3A3A3"/>
      </left>
      <right style="medium">
        <color indexed="64"/>
      </right>
      <top style="medium">
        <color rgb="FFA3A3A3"/>
      </top>
      <bottom/>
      <diagonal/>
    </border>
    <border>
      <left style="medium">
        <color indexed="64"/>
      </left>
      <right style="medium">
        <color rgb="FFA3A3A3"/>
      </right>
      <top/>
      <bottom style="medium">
        <color rgb="FFA3A3A3"/>
      </bottom>
      <diagonal/>
    </border>
    <border>
      <left style="medium">
        <color rgb="FFA3A3A3"/>
      </left>
      <right style="medium">
        <color indexed="64"/>
      </right>
      <top/>
      <bottom style="medium">
        <color rgb="FFA3A3A3"/>
      </bottom>
      <diagonal/>
    </border>
    <border>
      <left style="medium">
        <color rgb="FF000000"/>
      </left>
      <right style="medium">
        <color rgb="FF000000"/>
      </right>
      <top style="medium">
        <color rgb="FF000000"/>
      </top>
      <bottom style="medium">
        <color rgb="FF000000"/>
      </bottom>
      <diagonal/>
    </border>
    <border>
      <left style="thin">
        <color indexed="64"/>
      </left>
      <right style="medium">
        <color indexed="64"/>
      </right>
      <top style="medium">
        <color indexed="64"/>
      </top>
      <bottom/>
      <diagonal/>
    </border>
    <border>
      <left style="thin">
        <color rgb="FFE7BA00"/>
      </left>
      <right style="thin">
        <color rgb="FFE7BA00"/>
      </right>
      <top style="thin">
        <color rgb="FFE7BA0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diagonal/>
    </border>
    <border>
      <left style="thin">
        <color indexed="64"/>
      </left>
      <right/>
      <top/>
      <bottom/>
      <diagonal/>
    </border>
    <border>
      <left/>
      <right style="thin">
        <color indexed="64"/>
      </right>
      <top style="medium">
        <color indexed="64"/>
      </top>
      <bottom/>
      <diagonal/>
    </border>
    <border>
      <left/>
      <right style="thin">
        <color indexed="64"/>
      </right>
      <top/>
      <bottom/>
      <diagonal/>
    </border>
    <border>
      <left style="medium">
        <color rgb="FF000000"/>
      </left>
      <right style="medium">
        <color rgb="FF000000"/>
      </right>
      <top style="medium">
        <color indexed="64"/>
      </top>
      <bottom style="medium">
        <color rgb="FF000000"/>
      </bottom>
      <diagonal/>
    </border>
    <border>
      <left style="medium">
        <color indexed="64"/>
      </left>
      <right style="medium">
        <color rgb="FF000000"/>
      </right>
      <top style="medium">
        <color rgb="FF000000"/>
      </top>
      <bottom style="medium">
        <color rgb="FF000000"/>
      </bottom>
      <diagonal/>
    </border>
    <border>
      <left style="medium">
        <color indexed="64"/>
      </left>
      <right style="medium">
        <color rgb="FF000000"/>
      </right>
      <top style="medium">
        <color rgb="FF000000"/>
      </top>
      <bottom style="medium">
        <color indexed="64"/>
      </bottom>
      <diagonal/>
    </border>
    <border>
      <left style="medium">
        <color rgb="FF000000"/>
      </left>
      <right style="medium">
        <color rgb="FF000000"/>
      </right>
      <top style="medium">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271">
    <xf numFmtId="0" fontId="0" fillId="0" borderId="0" xfId="0"/>
    <xf numFmtId="0" fontId="14" fillId="0" borderId="0" xfId="0" applyFont="1"/>
    <xf numFmtId="0" fontId="15" fillId="0" borderId="6" xfId="0" applyFont="1" applyBorder="1" applyAlignment="1">
      <alignment horizontal="center" wrapText="1"/>
    </xf>
    <xf numFmtId="0" fontId="16" fillId="0" borderId="4" xfId="0" applyFont="1" applyBorder="1" applyAlignment="1">
      <alignment wrapText="1"/>
    </xf>
    <xf numFmtId="0" fontId="16" fillId="0" borderId="4" xfId="0" applyFont="1" applyBorder="1" applyAlignment="1">
      <alignment horizontal="left" wrapText="1"/>
    </xf>
    <xf numFmtId="0" fontId="17" fillId="0" borderId="2" xfId="0" applyFont="1" applyBorder="1" applyAlignment="1">
      <alignment horizontal="center" wrapText="1"/>
    </xf>
    <xf numFmtId="0" fontId="16" fillId="0" borderId="3" xfId="0" applyFont="1" applyBorder="1" applyAlignment="1">
      <alignment wrapText="1"/>
    </xf>
    <xf numFmtId="0" fontId="16" fillId="0" borderId="6" xfId="0" applyFont="1" applyBorder="1" applyAlignment="1">
      <alignment horizontal="center" wrapText="1"/>
    </xf>
    <xf numFmtId="0" fontId="16" fillId="0" borderId="43" xfId="0" applyFont="1" applyBorder="1" applyAlignment="1">
      <alignment horizontal="center" wrapText="1" readingOrder="1"/>
    </xf>
    <xf numFmtId="0" fontId="16" fillId="0" borderId="44" xfId="0" applyFont="1" applyBorder="1" applyAlignment="1">
      <alignment wrapText="1" readingOrder="1"/>
    </xf>
    <xf numFmtId="0" fontId="16" fillId="0" borderId="8" xfId="0" applyFont="1" applyBorder="1" applyAlignment="1">
      <alignment horizontal="center" wrapText="1"/>
    </xf>
    <xf numFmtId="0" fontId="16" fillId="0" borderId="9" xfId="0" applyFont="1" applyBorder="1" applyAlignment="1">
      <alignment wrapText="1"/>
    </xf>
    <xf numFmtId="0" fontId="16" fillId="0" borderId="4" xfId="0" applyFont="1" applyFill="1" applyBorder="1"/>
    <xf numFmtId="0" fontId="16" fillId="0" borderId="45" xfId="0" applyFont="1" applyBorder="1" applyAlignment="1">
      <alignment horizontal="center" wrapText="1" readingOrder="1"/>
    </xf>
    <xf numFmtId="0" fontId="16" fillId="0" borderId="46" xfId="0" applyFont="1" applyBorder="1" applyAlignment="1">
      <alignment wrapText="1" readingOrder="1"/>
    </xf>
    <xf numFmtId="0" fontId="16" fillId="0" borderId="2" xfId="0" applyFont="1" applyBorder="1" applyAlignment="1">
      <alignment horizontal="center" wrapText="1"/>
    </xf>
    <xf numFmtId="0" fontId="17" fillId="0" borderId="6" xfId="0" applyFont="1" applyBorder="1" applyAlignment="1">
      <alignment horizontal="center" wrapText="1"/>
    </xf>
    <xf numFmtId="0" fontId="15" fillId="0" borderId="4" xfId="0" applyFont="1" applyBorder="1" applyAlignment="1">
      <alignment horizontal="left" wrapText="1"/>
    </xf>
    <xf numFmtId="0" fontId="17" fillId="0" borderId="1" xfId="0" applyFont="1" applyBorder="1" applyAlignment="1">
      <alignment horizontal="center" wrapText="1"/>
    </xf>
    <xf numFmtId="0" fontId="14" fillId="0" borderId="1" xfId="0" applyFont="1" applyBorder="1" applyAlignment="1">
      <alignment wrapText="1"/>
    </xf>
    <xf numFmtId="0" fontId="15" fillId="0" borderId="1" xfId="0" applyFont="1" applyBorder="1" applyAlignment="1">
      <alignment horizontal="center" vertical="center" wrapText="1"/>
    </xf>
    <xf numFmtId="0" fontId="19" fillId="7" borderId="1" xfId="0" applyFont="1" applyFill="1" applyBorder="1" applyAlignment="1">
      <alignment wrapText="1"/>
    </xf>
    <xf numFmtId="0" fontId="19" fillId="7" borderId="0" xfId="0" applyFont="1" applyFill="1" applyAlignment="1">
      <alignment wrapText="1"/>
    </xf>
    <xf numFmtId="0" fontId="19" fillId="7" borderId="1" xfId="0" applyFont="1" applyFill="1" applyBorder="1" applyAlignment="1">
      <alignment horizontal="center" wrapText="1"/>
    </xf>
    <xf numFmtId="0" fontId="14" fillId="0" borderId="0" xfId="0" applyFont="1" applyAlignment="1">
      <alignment horizontal="left"/>
    </xf>
    <xf numFmtId="0" fontId="14" fillId="0" borderId="1" xfId="0" applyFont="1" applyBorder="1" applyAlignment="1">
      <alignment horizontal="center"/>
    </xf>
    <xf numFmtId="0" fontId="20" fillId="0" borderId="2" xfId="0" applyFont="1" applyBorder="1" applyAlignment="1">
      <alignment horizontal="center" wrapText="1"/>
    </xf>
    <xf numFmtId="0" fontId="14" fillId="0" borderId="3" xfId="0" applyFont="1" applyBorder="1" applyAlignment="1">
      <alignment wrapText="1"/>
    </xf>
    <xf numFmtId="0" fontId="14" fillId="0" borderId="6" xfId="0" applyFont="1" applyBorder="1" applyAlignment="1">
      <alignment horizontal="center"/>
    </xf>
    <xf numFmtId="0" fontId="18" fillId="0" borderId="4" xfId="0" applyFont="1" applyBorder="1" applyAlignment="1">
      <alignment horizontal="left" wrapText="1"/>
    </xf>
    <xf numFmtId="0" fontId="14" fillId="0" borderId="8" xfId="0" applyFont="1" applyBorder="1" applyAlignment="1">
      <alignment horizontal="center"/>
    </xf>
    <xf numFmtId="0" fontId="18" fillId="0" borderId="9" xfId="0" applyFont="1" applyBorder="1" applyAlignment="1">
      <alignment horizontal="left" wrapText="1"/>
    </xf>
    <xf numFmtId="0" fontId="20" fillId="0" borderId="6" xfId="0" applyFont="1" applyBorder="1" applyAlignment="1">
      <alignment horizontal="center" wrapText="1"/>
    </xf>
    <xf numFmtId="0" fontId="14" fillId="0" borderId="4" xfId="0" applyFont="1" applyBorder="1" applyAlignment="1">
      <alignment wrapText="1"/>
    </xf>
    <xf numFmtId="0" fontId="14" fillId="0" borderId="6" xfId="0" applyFont="1" applyBorder="1" applyAlignment="1">
      <alignment horizontal="center" wrapText="1"/>
    </xf>
    <xf numFmtId="0" fontId="14" fillId="0" borderId="43" xfId="0" applyFont="1" applyBorder="1" applyAlignment="1">
      <alignment horizontal="center" wrapText="1" readingOrder="1"/>
    </xf>
    <xf numFmtId="0" fontId="14" fillId="0" borderId="44" xfId="0" applyFont="1" applyBorder="1" applyAlignment="1">
      <alignment wrapText="1" readingOrder="1"/>
    </xf>
    <xf numFmtId="0" fontId="14" fillId="0" borderId="47" xfId="0" applyFont="1" applyBorder="1" applyAlignment="1">
      <alignment horizontal="center" wrapText="1" readingOrder="1"/>
    </xf>
    <xf numFmtId="0" fontId="14" fillId="0" borderId="48" xfId="0" applyFont="1" applyBorder="1" applyAlignment="1">
      <alignment wrapText="1" readingOrder="1"/>
    </xf>
    <xf numFmtId="0" fontId="14" fillId="0" borderId="8" xfId="0" applyFont="1" applyBorder="1" applyAlignment="1">
      <alignment horizontal="center" wrapText="1"/>
    </xf>
    <xf numFmtId="0" fontId="14" fillId="0" borderId="9" xfId="0" applyFont="1" applyBorder="1" applyAlignment="1">
      <alignment wrapText="1"/>
    </xf>
    <xf numFmtId="0" fontId="14" fillId="0" borderId="4" xfId="0" applyFont="1" applyBorder="1"/>
    <xf numFmtId="0" fontId="14" fillId="0" borderId="3" xfId="0" applyFont="1" applyBorder="1"/>
    <xf numFmtId="0" fontId="14" fillId="0" borderId="9" xfId="0" applyFont="1" applyBorder="1"/>
    <xf numFmtId="0" fontId="21" fillId="0" borderId="2" xfId="0" applyFont="1" applyBorder="1" applyAlignment="1">
      <alignment horizontal="center"/>
    </xf>
    <xf numFmtId="0" fontId="16" fillId="0" borderId="6" xfId="0" applyFont="1" applyBorder="1" applyAlignment="1">
      <alignment horizontal="center"/>
    </xf>
    <xf numFmtId="0" fontId="16" fillId="0" borderId="9" xfId="0" applyFont="1" applyFill="1" applyBorder="1"/>
    <xf numFmtId="178" fontId="22" fillId="0" borderId="11" xfId="0" applyNumberFormat="1" applyFont="1" applyBorder="1" applyAlignment="1">
      <alignment horizontal="center" vertical="top"/>
    </xf>
    <xf numFmtId="0" fontId="23" fillId="0" borderId="1" xfId="0" applyFont="1" applyBorder="1" applyAlignment="1">
      <alignment horizontal="justify" vertical="top" wrapText="1"/>
    </xf>
    <xf numFmtId="0" fontId="14" fillId="0" borderId="45" xfId="0" applyFont="1" applyBorder="1" applyAlignment="1">
      <alignment horizontal="center" wrapText="1" readingOrder="1"/>
    </xf>
    <xf numFmtId="0" fontId="14" fillId="0" borderId="46" xfId="0" applyFont="1" applyBorder="1" applyAlignment="1">
      <alignment wrapText="1" readingOrder="1"/>
    </xf>
    <xf numFmtId="0" fontId="14" fillId="0" borderId="2" xfId="0" applyFont="1" applyBorder="1" applyAlignment="1">
      <alignment horizontal="center"/>
    </xf>
    <xf numFmtId="176" fontId="24" fillId="0" borderId="11" xfId="0" applyNumberFormat="1" applyFont="1" applyBorder="1" applyAlignment="1">
      <alignment horizontal="center" vertical="top"/>
    </xf>
    <xf numFmtId="0" fontId="25" fillId="0" borderId="19" xfId="0" applyFont="1" applyBorder="1" applyAlignment="1">
      <alignment horizontal="left" vertical="top"/>
    </xf>
    <xf numFmtId="0" fontId="25" fillId="0" borderId="29" xfId="0" applyFont="1" applyBorder="1" applyAlignment="1">
      <alignment horizontal="left" vertical="top"/>
    </xf>
    <xf numFmtId="0" fontId="25" fillId="0" borderId="6" xfId="0" applyFont="1" applyBorder="1" applyAlignment="1">
      <alignment horizontal="left" vertical="top"/>
    </xf>
    <xf numFmtId="0" fontId="25" fillId="0" borderId="4" xfId="0" applyFont="1" applyBorder="1" applyAlignment="1">
      <alignment horizontal="left" vertical="top"/>
    </xf>
    <xf numFmtId="58" fontId="26" fillId="0" borderId="53" xfId="0" applyNumberFormat="1" applyFont="1" applyBorder="1" applyAlignment="1">
      <alignment horizontal="center" vertical="center" wrapText="1" readingOrder="1"/>
    </xf>
    <xf numFmtId="0" fontId="26" fillId="0" borderId="53" xfId="0" applyFont="1" applyBorder="1" applyAlignment="1">
      <alignment horizontal="center" vertical="center" wrapText="1" readingOrder="1"/>
    </xf>
    <xf numFmtId="0" fontId="26" fillId="0" borderId="53" xfId="0" applyFont="1" applyBorder="1" applyAlignment="1">
      <alignment horizontal="left" vertical="center" wrapText="1" readingOrder="1"/>
    </xf>
    <xf numFmtId="0" fontId="27" fillId="0" borderId="53" xfId="0" applyFont="1" applyBorder="1" applyAlignment="1">
      <alignment horizontal="justify" vertical="center" wrapText="1" readingOrder="1"/>
    </xf>
    <xf numFmtId="58" fontId="27" fillId="0" borderId="53" xfId="0" applyNumberFormat="1" applyFont="1" applyBorder="1" applyAlignment="1">
      <alignment horizontal="center" vertical="center" wrapText="1" readingOrder="1"/>
    </xf>
    <xf numFmtId="0" fontId="27" fillId="0" borderId="53" xfId="0" applyFont="1" applyBorder="1" applyAlignment="1">
      <alignment horizontal="center" vertical="center" wrapText="1" readingOrder="1"/>
    </xf>
    <xf numFmtId="0" fontId="27" fillId="0" borderId="53" xfId="0" applyFont="1" applyBorder="1" applyAlignment="1">
      <alignment horizontal="left" vertical="center" wrapText="1" readingOrder="1"/>
    </xf>
    <xf numFmtId="0" fontId="28" fillId="0" borderId="6" xfId="0" applyFont="1" applyBorder="1" applyAlignment="1">
      <alignment horizontal="center"/>
    </xf>
    <xf numFmtId="0" fontId="29" fillId="0" borderId="43" xfId="0" applyFont="1" applyBorder="1" applyAlignment="1">
      <alignment horizontal="center" wrapText="1" readingOrder="1"/>
    </xf>
    <xf numFmtId="0" fontId="29" fillId="0" borderId="44" xfId="0" applyFont="1" applyBorder="1" applyAlignment="1">
      <alignment wrapText="1" readingOrder="1"/>
    </xf>
    <xf numFmtId="0" fontId="14" fillId="0" borderId="48" xfId="0" applyFont="1" applyBorder="1" applyAlignment="1">
      <alignment wrapText="1"/>
    </xf>
    <xf numFmtId="0" fontId="14" fillId="0" borderId="49" xfId="0" applyFont="1" applyBorder="1" applyAlignment="1">
      <alignment horizontal="center" wrapText="1"/>
    </xf>
    <xf numFmtId="0" fontId="14" fillId="0" borderId="50" xfId="0" applyFont="1" applyBorder="1" applyAlignment="1">
      <alignment wrapText="1"/>
    </xf>
    <xf numFmtId="0" fontId="14" fillId="0" borderId="0" xfId="0" applyFont="1" applyAlignment="1">
      <alignment horizontal="center" wrapText="1"/>
    </xf>
    <xf numFmtId="0" fontId="14" fillId="0" borderId="0" xfId="0" applyFont="1" applyAlignment="1">
      <alignment wrapText="1"/>
    </xf>
    <xf numFmtId="0" fontId="14" fillId="0" borderId="0" xfId="0" applyFont="1" applyAlignment="1">
      <alignment horizontal="center"/>
    </xf>
    <xf numFmtId="0" fontId="32" fillId="0" borderId="0" xfId="0" applyFont="1"/>
    <xf numFmtId="0" fontId="33" fillId="4" borderId="24" xfId="0" applyFont="1" applyFill="1" applyBorder="1" applyAlignment="1">
      <alignment horizontal="center" vertical="top" textRotation="255"/>
    </xf>
    <xf numFmtId="0" fontId="33" fillId="4" borderId="35" xfId="0" applyFont="1" applyFill="1" applyBorder="1" applyAlignment="1">
      <alignment horizontal="center" vertical="top" textRotation="255"/>
    </xf>
    <xf numFmtId="177" fontId="33" fillId="4" borderId="60" xfId="0" applyNumberFormat="1" applyFont="1" applyFill="1" applyBorder="1" applyAlignment="1">
      <alignment horizontal="center" vertical="top" textRotation="255"/>
    </xf>
    <xf numFmtId="177" fontId="33" fillId="4" borderId="36" xfId="0" applyNumberFormat="1" applyFont="1" applyFill="1" applyBorder="1" applyAlignment="1">
      <alignment horizontal="center" vertical="top" textRotation="255"/>
    </xf>
    <xf numFmtId="0" fontId="33" fillId="4" borderId="25" xfId="0" applyFont="1" applyFill="1" applyBorder="1" applyAlignment="1">
      <alignment horizontal="center" vertical="center" wrapText="1"/>
    </xf>
    <xf numFmtId="0" fontId="34" fillId="4" borderId="27" xfId="0" applyFont="1" applyFill="1" applyBorder="1" applyAlignment="1">
      <alignment horizontal="center" vertical="center" wrapText="1" readingOrder="1"/>
    </xf>
    <xf numFmtId="0" fontId="35" fillId="0" borderId="62" xfId="0" applyFont="1" applyFill="1" applyBorder="1" applyAlignment="1">
      <alignment horizontal="center" vertical="center" wrapText="1" readingOrder="1"/>
    </xf>
    <xf numFmtId="0" fontId="35" fillId="0" borderId="51" xfId="0" applyFont="1" applyFill="1" applyBorder="1" applyAlignment="1">
      <alignment horizontal="center" vertical="center" wrapText="1" readingOrder="1"/>
    </xf>
    <xf numFmtId="0" fontId="35" fillId="0" borderId="61" xfId="0" applyFont="1" applyFill="1" applyBorder="1" applyAlignment="1">
      <alignment horizontal="center" vertical="center" wrapText="1" readingOrder="1"/>
    </xf>
    <xf numFmtId="0" fontId="35" fillId="8" borderId="62" xfId="0" applyFont="1" applyFill="1" applyBorder="1" applyAlignment="1">
      <alignment horizontal="center" vertical="center" wrapText="1" readingOrder="1"/>
    </xf>
    <xf numFmtId="0" fontId="35" fillId="8" borderId="51" xfId="0" applyFont="1" applyFill="1" applyBorder="1" applyAlignment="1">
      <alignment horizontal="center" vertical="center" wrapText="1" readingOrder="1"/>
    </xf>
    <xf numFmtId="0" fontId="35" fillId="8" borderId="61" xfId="0" applyFont="1" applyFill="1" applyBorder="1" applyAlignment="1">
      <alignment horizontal="center" vertical="center" wrapText="1" readingOrder="1"/>
    </xf>
    <xf numFmtId="0" fontId="34" fillId="4" borderId="5" xfId="0" applyFont="1" applyFill="1" applyBorder="1" applyAlignment="1">
      <alignment horizontal="center" vertical="center" wrapText="1" readingOrder="1"/>
    </xf>
    <xf numFmtId="0" fontId="35" fillId="9" borderId="61" xfId="0" applyFont="1" applyFill="1" applyBorder="1" applyAlignment="1">
      <alignment horizontal="center" vertical="center" wrapText="1" readingOrder="1"/>
    </xf>
    <xf numFmtId="0" fontId="34" fillId="4" borderId="28" xfId="0" applyFont="1" applyFill="1" applyBorder="1" applyAlignment="1">
      <alignment horizontal="center" vertical="center" wrapText="1" readingOrder="1"/>
    </xf>
    <xf numFmtId="0" fontId="35" fillId="0" borderId="63" xfId="0" applyFont="1" applyFill="1" applyBorder="1" applyAlignment="1">
      <alignment horizontal="center" vertical="center" wrapText="1" readingOrder="1"/>
    </xf>
    <xf numFmtId="0" fontId="35" fillId="0" borderId="64" xfId="0" applyFont="1" applyFill="1" applyBorder="1" applyAlignment="1">
      <alignment horizontal="center" vertical="center" wrapText="1" readingOrder="1"/>
    </xf>
    <xf numFmtId="0" fontId="31" fillId="4" borderId="7" xfId="0" applyFont="1" applyFill="1" applyBorder="1" applyAlignment="1">
      <alignment horizontal="center" vertical="center"/>
    </xf>
    <xf numFmtId="0" fontId="33" fillId="4" borderId="11" xfId="0" applyFont="1" applyFill="1" applyBorder="1" applyAlignment="1">
      <alignment horizontal="center" vertical="top" textRotation="255"/>
    </xf>
    <xf numFmtId="0" fontId="33" fillId="4" borderId="1" xfId="0" applyFont="1" applyFill="1" applyBorder="1" applyAlignment="1">
      <alignment horizontal="center" vertical="top" textRotation="255"/>
    </xf>
    <xf numFmtId="0" fontId="33" fillId="4" borderId="60" xfId="0" applyFont="1" applyFill="1" applyBorder="1" applyAlignment="1">
      <alignment horizontal="center" vertical="top" textRotation="255"/>
    </xf>
    <xf numFmtId="0" fontId="33" fillId="5" borderId="36" xfId="0" applyFont="1" applyFill="1" applyBorder="1" applyAlignment="1">
      <alignment horizontal="center" vertical="top" textRotation="255"/>
    </xf>
    <xf numFmtId="177" fontId="33" fillId="4" borderId="37" xfId="0" applyNumberFormat="1" applyFont="1" applyFill="1" applyBorder="1" applyAlignment="1">
      <alignment horizontal="center" vertical="top" textRotation="255"/>
    </xf>
    <xf numFmtId="177" fontId="33" fillId="5" borderId="38" xfId="0" applyNumberFormat="1" applyFont="1" applyFill="1" applyBorder="1" applyAlignment="1">
      <alignment horizontal="center" vertical="top" textRotation="255"/>
    </xf>
    <xf numFmtId="0" fontId="32" fillId="6" borderId="42" xfId="0" applyFont="1" applyFill="1" applyBorder="1" applyAlignment="1">
      <alignment horizontal="center" vertical="center"/>
    </xf>
    <xf numFmtId="0" fontId="33" fillId="4" borderId="11" xfId="0" applyFont="1" applyFill="1" applyBorder="1" applyAlignment="1">
      <alignment horizontal="center" vertical="center"/>
    </xf>
    <xf numFmtId="0" fontId="33" fillId="4" borderId="19" xfId="0" applyFont="1" applyFill="1" applyBorder="1" applyAlignment="1">
      <alignment horizontal="center" vertical="center"/>
    </xf>
    <xf numFmtId="49" fontId="36" fillId="0" borderId="21" xfId="0" applyNumberFormat="1" applyFont="1" applyBorder="1" applyAlignment="1">
      <alignment vertical="center"/>
    </xf>
    <xf numFmtId="49" fontId="37" fillId="0" borderId="34" xfId="0" applyNumberFormat="1" applyFont="1" applyBorder="1" applyAlignment="1">
      <alignment vertical="center"/>
    </xf>
    <xf numFmtId="49" fontId="38" fillId="0" borderId="34" xfId="0" applyNumberFormat="1" applyFont="1" applyBorder="1" applyAlignment="1">
      <alignment horizontal="center" vertical="center" wrapText="1" readingOrder="1"/>
    </xf>
    <xf numFmtId="49" fontId="38" fillId="0" borderId="22" xfId="0" applyNumberFormat="1" applyFont="1" applyBorder="1" applyAlignment="1">
      <alignment horizontal="center" vertical="center" wrapText="1" readingOrder="1"/>
    </xf>
    <xf numFmtId="49" fontId="37" fillId="0" borderId="0" xfId="0" applyNumberFormat="1" applyFont="1"/>
    <xf numFmtId="49" fontId="37" fillId="0" borderId="0" xfId="0" applyNumberFormat="1" applyFont="1" applyAlignment="1">
      <alignment horizontal="center"/>
    </xf>
    <xf numFmtId="49" fontId="38" fillId="0" borderId="14" xfId="0" applyNumberFormat="1" applyFont="1" applyBorder="1" applyAlignment="1">
      <alignment horizontal="center" vertical="center" wrapText="1" readingOrder="1"/>
    </xf>
    <xf numFmtId="0" fontId="37" fillId="0" borderId="54" xfId="0" applyFont="1" applyBorder="1" applyAlignment="1">
      <alignment horizontal="center" vertical="center"/>
    </xf>
    <xf numFmtId="0" fontId="37" fillId="0" borderId="59" xfId="0" applyFont="1" applyBorder="1" applyAlignment="1">
      <alignment horizontal="center" vertical="center"/>
    </xf>
    <xf numFmtId="0" fontId="37" fillId="0" borderId="17" xfId="0" applyFont="1" applyBorder="1" applyAlignment="1">
      <alignment horizontal="center" vertical="center"/>
    </xf>
    <xf numFmtId="0" fontId="37" fillId="0" borderId="52" xfId="0" applyFont="1" applyBorder="1" applyAlignment="1">
      <alignment horizontal="center" vertical="center"/>
    </xf>
    <xf numFmtId="49" fontId="38" fillId="0" borderId="5" xfId="0" applyNumberFormat="1" applyFont="1" applyBorder="1" applyAlignment="1">
      <alignment horizontal="center" vertical="center" wrapText="1" readingOrder="1"/>
    </xf>
    <xf numFmtId="0" fontId="37" fillId="0" borderId="55" xfId="0" applyFont="1" applyBorder="1" applyAlignment="1">
      <alignment horizontal="center" vertical="center"/>
    </xf>
    <xf numFmtId="0" fontId="37" fillId="0" borderId="23" xfId="0" applyFont="1" applyBorder="1" applyAlignment="1">
      <alignment horizontal="center" vertical="center"/>
    </xf>
    <xf numFmtId="0" fontId="37" fillId="0" borderId="15" xfId="0" applyFont="1" applyBorder="1" applyAlignment="1">
      <alignment horizontal="center" vertical="center"/>
    </xf>
    <xf numFmtId="0" fontId="37" fillId="0" borderId="18" xfId="0" applyFont="1" applyBorder="1" applyAlignment="1">
      <alignment horizontal="center" vertical="center"/>
    </xf>
    <xf numFmtId="49" fontId="38" fillId="0" borderId="42" xfId="0" applyNumberFormat="1" applyFont="1" applyBorder="1" applyAlignment="1">
      <alignment horizontal="center" vertical="center" wrapText="1" readingOrder="1"/>
    </xf>
    <xf numFmtId="49" fontId="38" fillId="0" borderId="1" xfId="0" applyNumberFormat="1" applyFont="1" applyBorder="1" applyAlignment="1">
      <alignment horizontal="center" vertical="center" wrapText="1" readingOrder="1"/>
    </xf>
    <xf numFmtId="49" fontId="38" fillId="0" borderId="12" xfId="0" applyNumberFormat="1" applyFont="1" applyBorder="1" applyAlignment="1">
      <alignment horizontal="center" vertical="center" wrapText="1" readingOrder="1"/>
    </xf>
    <xf numFmtId="49" fontId="39" fillId="0" borderId="1" xfId="0" applyNumberFormat="1" applyFont="1" applyBorder="1" applyAlignment="1">
      <alignment horizontal="center" vertical="center" wrapText="1" readingOrder="1"/>
    </xf>
    <xf numFmtId="0" fontId="37" fillId="0" borderId="42" xfId="0" applyFont="1" applyBorder="1" applyAlignment="1">
      <alignment horizontal="center" vertical="center"/>
    </xf>
    <xf numFmtId="0" fontId="37" fillId="0" borderId="1" xfId="0" applyFont="1" applyBorder="1" applyAlignment="1">
      <alignment horizontal="center" vertical="center"/>
    </xf>
    <xf numFmtId="0" fontId="37" fillId="0" borderId="12" xfId="0" applyFont="1" applyBorder="1" applyAlignment="1">
      <alignment horizontal="center" vertical="center"/>
    </xf>
    <xf numFmtId="49" fontId="38" fillId="0" borderId="30" xfId="0" applyNumberFormat="1" applyFont="1" applyBorder="1" applyAlignment="1">
      <alignment horizontal="center" vertical="center" wrapText="1" readingOrder="1"/>
    </xf>
    <xf numFmtId="49" fontId="38" fillId="0" borderId="20" xfId="0" applyNumberFormat="1" applyFont="1" applyBorder="1" applyAlignment="1">
      <alignment horizontal="center" vertical="center" wrapText="1" readingOrder="1"/>
    </xf>
    <xf numFmtId="49" fontId="38" fillId="0" borderId="29" xfId="0" applyNumberFormat="1" applyFont="1" applyBorder="1" applyAlignment="1">
      <alignment horizontal="center" vertical="center" wrapText="1" readingOrder="1"/>
    </xf>
    <xf numFmtId="49" fontId="39" fillId="0" borderId="20" xfId="0" applyNumberFormat="1" applyFont="1" applyBorder="1" applyAlignment="1">
      <alignment horizontal="center" vertical="center" wrapText="1" readingOrder="1"/>
    </xf>
    <xf numFmtId="49" fontId="38" fillId="0" borderId="0" xfId="0" applyNumberFormat="1" applyFont="1"/>
    <xf numFmtId="49" fontId="38" fillId="0" borderId="0" xfId="0" applyNumberFormat="1" applyFont="1" applyAlignment="1">
      <alignment horizontal="center"/>
    </xf>
    <xf numFmtId="0" fontId="37" fillId="0" borderId="56" xfId="0" applyFont="1" applyBorder="1" applyAlignment="1">
      <alignment horizontal="center" vertical="center"/>
    </xf>
    <xf numFmtId="0" fontId="37" fillId="0" borderId="30" xfId="0" applyFont="1" applyBorder="1" applyAlignment="1">
      <alignment horizontal="center" vertical="center"/>
    </xf>
    <xf numFmtId="0" fontId="37" fillId="0" borderId="20" xfId="0" applyFont="1" applyBorder="1" applyAlignment="1">
      <alignment horizontal="center" vertical="center"/>
    </xf>
    <xf numFmtId="0" fontId="37" fillId="0" borderId="29" xfId="0" applyFont="1" applyBorder="1" applyAlignment="1">
      <alignment horizontal="center" vertical="center"/>
    </xf>
    <xf numFmtId="49" fontId="38" fillId="0" borderId="28" xfId="0" applyNumberFormat="1" applyFont="1" applyBorder="1" applyAlignment="1">
      <alignment horizontal="center" vertical="center" wrapText="1" readingOrder="1"/>
    </xf>
    <xf numFmtId="179" fontId="32" fillId="6" borderId="10" xfId="0" applyNumberFormat="1" applyFont="1" applyFill="1" applyBorder="1" applyAlignment="1">
      <alignment horizontal="center" vertical="center"/>
    </xf>
    <xf numFmtId="0" fontId="42" fillId="0" borderId="0" xfId="0" applyFont="1" applyAlignment="1" applyProtection="1">
      <alignment vertical="center" wrapText="1"/>
    </xf>
    <xf numFmtId="0" fontId="41" fillId="0" borderId="21" xfId="0" applyFont="1" applyBorder="1" applyAlignment="1" applyProtection="1">
      <alignment vertical="center" wrapText="1"/>
    </xf>
    <xf numFmtId="0" fontId="41" fillId="0" borderId="34" xfId="0" applyFont="1" applyBorder="1" applyAlignment="1" applyProtection="1">
      <alignment vertical="center" wrapText="1"/>
    </xf>
    <xf numFmtId="0" fontId="41" fillId="0" borderId="33" xfId="0" applyFont="1" applyBorder="1" applyAlignment="1" applyProtection="1">
      <alignment vertical="center" wrapText="1"/>
    </xf>
    <xf numFmtId="0" fontId="41" fillId="0" borderId="33" xfId="0" applyFont="1" applyBorder="1" applyAlignment="1" applyProtection="1">
      <alignment horizontal="center" vertical="center" wrapText="1"/>
    </xf>
    <xf numFmtId="0" fontId="41" fillId="0" borderId="65" xfId="0" applyFont="1" applyBorder="1" applyAlignment="1" applyProtection="1">
      <alignment horizontal="center" vertical="center" wrapText="1"/>
    </xf>
    <xf numFmtId="0" fontId="43" fillId="2" borderId="66" xfId="0" applyFont="1" applyFill="1" applyBorder="1" applyAlignment="1" applyProtection="1">
      <alignment horizontal="center" vertical="center" wrapText="1"/>
    </xf>
    <xf numFmtId="177" fontId="42" fillId="2" borderId="39" xfId="0" applyNumberFormat="1" applyFont="1" applyFill="1" applyBorder="1" applyAlignment="1" applyProtection="1">
      <alignment horizontal="center" vertical="center" wrapText="1"/>
    </xf>
    <xf numFmtId="177" fontId="44" fillId="2" borderId="66" xfId="0" applyNumberFormat="1" applyFont="1" applyFill="1" applyBorder="1" applyAlignment="1" applyProtection="1">
      <alignment horizontal="center" vertical="center" wrapText="1"/>
    </xf>
    <xf numFmtId="0" fontId="46" fillId="3" borderId="26" xfId="0" applyFont="1" applyFill="1" applyBorder="1" applyAlignment="1" applyProtection="1">
      <alignment horizontal="center" vertical="center"/>
      <protection locked="0"/>
    </xf>
    <xf numFmtId="0" fontId="46" fillId="3" borderId="26" xfId="0" applyFont="1" applyFill="1" applyBorder="1" applyAlignment="1" applyProtection="1">
      <alignment horizontal="center" vertical="center" wrapText="1"/>
      <protection locked="0"/>
    </xf>
    <xf numFmtId="177" fontId="42" fillId="0" borderId="0" xfId="0" applyNumberFormat="1" applyFont="1" applyAlignment="1" applyProtection="1">
      <alignment vertical="center" wrapText="1"/>
    </xf>
    <xf numFmtId="0" fontId="45" fillId="3" borderId="1" xfId="0" applyFont="1" applyFill="1" applyBorder="1" applyAlignment="1" applyProtection="1">
      <alignment horizontal="justify" vertical="center" wrapText="1"/>
    </xf>
    <xf numFmtId="0" fontId="45" fillId="3" borderId="1" xfId="0" applyFont="1" applyFill="1" applyBorder="1" applyAlignment="1" applyProtection="1">
      <alignment vertical="center" wrapText="1"/>
    </xf>
    <xf numFmtId="0" fontId="46" fillId="3" borderId="1" xfId="0" applyFont="1" applyFill="1" applyBorder="1" applyAlignment="1" applyProtection="1">
      <alignment vertical="center" wrapText="1"/>
    </xf>
    <xf numFmtId="0" fontId="46" fillId="3" borderId="1" xfId="0" applyFont="1" applyFill="1" applyBorder="1" applyAlignment="1" applyProtection="1">
      <alignment horizontal="center" vertical="center" wrapText="1"/>
    </xf>
    <xf numFmtId="177" fontId="46" fillId="3" borderId="1" xfId="0" applyNumberFormat="1" applyFont="1" applyFill="1" applyBorder="1" applyAlignment="1" applyProtection="1">
      <alignment horizontal="center" vertical="center" wrapText="1"/>
    </xf>
    <xf numFmtId="0" fontId="42" fillId="0" borderId="0" xfId="0" applyFont="1" applyBorder="1" applyAlignment="1" applyProtection="1">
      <alignment vertical="center" wrapText="1"/>
    </xf>
    <xf numFmtId="0" fontId="46" fillId="3" borderId="1" xfId="0" applyFont="1" applyFill="1" applyBorder="1" applyAlignment="1" applyProtection="1">
      <alignment horizontal="justify" vertical="center" wrapText="1"/>
    </xf>
    <xf numFmtId="0" fontId="45" fillId="3" borderId="1" xfId="0" applyFont="1" applyFill="1" applyBorder="1" applyAlignment="1" applyProtection="1">
      <alignment horizontal="left" vertical="center" wrapText="1"/>
    </xf>
    <xf numFmtId="0" fontId="46" fillId="10" borderId="1" xfId="0" applyFont="1" applyFill="1" applyBorder="1" applyAlignment="1" applyProtection="1">
      <alignment horizontal="center" vertical="center" wrapText="1"/>
    </xf>
    <xf numFmtId="0" fontId="47" fillId="0" borderId="0" xfId="0" applyFont="1" applyAlignment="1" applyProtection="1">
      <alignment vertical="center" wrapText="1"/>
    </xf>
    <xf numFmtId="0" fontId="48" fillId="0" borderId="0" xfId="0" applyFont="1" applyAlignment="1" applyProtection="1">
      <alignment vertical="center" wrapText="1"/>
    </xf>
    <xf numFmtId="0" fontId="42" fillId="0" borderId="0" xfId="0" applyFont="1" applyAlignment="1" applyProtection="1">
      <alignment horizontal="left" vertical="center" wrapText="1"/>
    </xf>
    <xf numFmtId="0" fontId="42" fillId="0" borderId="0" xfId="0" applyFont="1" applyAlignment="1" applyProtection="1">
      <alignment horizontal="center" vertical="center" wrapText="1"/>
    </xf>
    <xf numFmtId="0" fontId="42" fillId="0" borderId="0" xfId="0" applyFont="1" applyBorder="1" applyAlignment="1" applyProtection="1">
      <alignment horizontal="center" vertical="center" wrapText="1"/>
    </xf>
    <xf numFmtId="0" fontId="46" fillId="11" borderId="1" xfId="0" applyFont="1" applyFill="1" applyBorder="1" applyAlignment="1" applyProtection="1">
      <alignment vertical="center" wrapText="1"/>
      <protection locked="0"/>
    </xf>
    <xf numFmtId="0" fontId="46" fillId="11" borderId="1" xfId="0" applyFont="1" applyFill="1" applyBorder="1" applyAlignment="1" applyProtection="1">
      <alignment horizontal="center" vertical="center" wrapText="1"/>
      <protection locked="0"/>
    </xf>
    <xf numFmtId="0" fontId="25" fillId="11" borderId="1" xfId="0" applyFont="1" applyFill="1" applyBorder="1" applyAlignment="1" applyProtection="1">
      <alignment horizontal="justify" vertical="center" wrapText="1"/>
      <protection locked="0"/>
    </xf>
    <xf numFmtId="0" fontId="46" fillId="11" borderId="37" xfId="0" applyFont="1" applyFill="1" applyBorder="1" applyAlignment="1" applyProtection="1">
      <alignment horizontal="center" vertical="center" wrapText="1"/>
      <protection locked="0"/>
    </xf>
    <xf numFmtId="0" fontId="46" fillId="11" borderId="35" xfId="0" applyFont="1" applyFill="1" applyBorder="1" applyAlignment="1" applyProtection="1">
      <alignment horizontal="center" vertical="center" wrapText="1"/>
      <protection locked="0"/>
    </xf>
    <xf numFmtId="0" fontId="46" fillId="11" borderId="26" xfId="0" applyFont="1" applyFill="1" applyBorder="1" applyAlignment="1" applyProtection="1">
      <alignment vertical="center" wrapText="1"/>
      <protection locked="0"/>
    </xf>
    <xf numFmtId="0" fontId="25" fillId="3" borderId="1" xfId="0" applyFont="1" applyFill="1" applyBorder="1" applyAlignment="1" applyProtection="1">
      <alignment vertical="center" wrapText="1"/>
    </xf>
    <xf numFmtId="0" fontId="32" fillId="0" borderId="0" xfId="0" applyFont="1" applyBorder="1" applyAlignment="1" applyProtection="1">
      <alignment vertical="center" wrapText="1"/>
    </xf>
    <xf numFmtId="0" fontId="32" fillId="0" borderId="0" xfId="0" applyFont="1" applyAlignment="1" applyProtection="1">
      <alignment vertical="center" wrapText="1"/>
    </xf>
    <xf numFmtId="0" fontId="25" fillId="3" borderId="35" xfId="0" applyFont="1" applyFill="1" applyBorder="1" applyAlignment="1" applyProtection="1">
      <alignment horizontal="center" vertical="center" wrapText="1"/>
    </xf>
    <xf numFmtId="0" fontId="25" fillId="3" borderId="37" xfId="0" applyFont="1" applyFill="1" applyBorder="1" applyAlignment="1" applyProtection="1">
      <alignment horizontal="center" vertical="center" wrapText="1"/>
    </xf>
    <xf numFmtId="0" fontId="25" fillId="3" borderId="26" xfId="0" applyFont="1" applyFill="1" applyBorder="1" applyAlignment="1" applyProtection="1">
      <alignment horizontal="center" vertical="center" wrapText="1"/>
    </xf>
    <xf numFmtId="0" fontId="25" fillId="3" borderId="35" xfId="0" applyFont="1" applyFill="1" applyBorder="1" applyAlignment="1" applyProtection="1">
      <alignment horizontal="left" vertical="center" wrapText="1"/>
    </xf>
    <xf numFmtId="0" fontId="25" fillId="3" borderId="37" xfId="0" applyFont="1" applyFill="1" applyBorder="1" applyAlignment="1" applyProtection="1">
      <alignment horizontal="left" vertical="center" wrapText="1"/>
    </xf>
    <xf numFmtId="0" fontId="25" fillId="3" borderId="26" xfId="0" applyFont="1" applyFill="1" applyBorder="1" applyAlignment="1" applyProtection="1">
      <alignment horizontal="left" vertical="center" wrapText="1"/>
    </xf>
    <xf numFmtId="0" fontId="25" fillId="11" borderId="1" xfId="0" applyFont="1" applyFill="1" applyBorder="1" applyAlignment="1" applyProtection="1">
      <alignment vertical="center" wrapText="1"/>
      <protection locked="0"/>
    </xf>
    <xf numFmtId="0" fontId="25" fillId="11" borderId="1" xfId="0" applyFont="1" applyFill="1" applyBorder="1" applyAlignment="1" applyProtection="1">
      <alignment horizontal="left" vertical="center" wrapText="1"/>
      <protection locked="0"/>
    </xf>
    <xf numFmtId="0" fontId="42" fillId="0" borderId="0" xfId="0" applyFont="1" applyBorder="1" applyAlignment="1" applyProtection="1">
      <alignment horizontal="center" vertical="center" wrapText="1"/>
    </xf>
    <xf numFmtId="0" fontId="41" fillId="0" borderId="21" xfId="0" applyFont="1" applyBorder="1" applyAlignment="1" applyProtection="1">
      <alignment horizontal="center" vertical="center" wrapText="1"/>
    </xf>
    <xf numFmtId="0" fontId="41" fillId="0" borderId="34" xfId="0" applyFont="1" applyBorder="1" applyAlignment="1" applyProtection="1">
      <alignment horizontal="center" vertical="center" wrapText="1"/>
    </xf>
    <xf numFmtId="0" fontId="41" fillId="0" borderId="22" xfId="0" applyFont="1" applyBorder="1" applyAlignment="1" applyProtection="1">
      <alignment horizontal="center" vertical="center" wrapText="1"/>
    </xf>
    <xf numFmtId="177" fontId="41" fillId="0" borderId="3" xfId="0" applyNumberFormat="1" applyFont="1" applyBorder="1" applyAlignment="1" applyProtection="1">
      <alignment horizontal="center" vertical="center" wrapText="1"/>
    </xf>
    <xf numFmtId="177" fontId="41" fillId="0" borderId="9" xfId="0" applyNumberFormat="1" applyFont="1" applyBorder="1" applyAlignment="1" applyProtection="1">
      <alignment horizontal="center" vertical="center" wrapText="1"/>
    </xf>
    <xf numFmtId="0" fontId="41" fillId="2" borderId="39" xfId="0" applyFont="1" applyFill="1" applyBorder="1" applyAlignment="1" applyProtection="1">
      <alignment horizontal="center" vertical="center" wrapText="1"/>
    </xf>
    <xf numFmtId="0" fontId="41" fillId="2" borderId="40" xfId="0" applyFont="1" applyFill="1" applyBorder="1" applyAlignment="1" applyProtection="1">
      <alignment horizontal="center" vertical="center" wrapText="1"/>
    </xf>
    <xf numFmtId="0" fontId="25" fillId="11" borderId="35" xfId="0" applyFont="1" applyFill="1" applyBorder="1" applyAlignment="1" applyProtection="1">
      <alignment vertical="center" wrapText="1"/>
      <protection locked="0"/>
    </xf>
    <xf numFmtId="0" fontId="25" fillId="11" borderId="37" xfId="0" applyFont="1" applyFill="1" applyBorder="1" applyAlignment="1" applyProtection="1">
      <alignment vertical="center" wrapText="1"/>
      <protection locked="0"/>
    </xf>
    <xf numFmtId="0" fontId="25" fillId="11" borderId="35" xfId="0" applyFont="1" applyFill="1" applyBorder="1" applyAlignment="1" applyProtection="1">
      <alignment horizontal="left" vertical="center" wrapText="1"/>
      <protection locked="0"/>
    </xf>
    <xf numFmtId="0" fontId="25" fillId="11" borderId="37" xfId="0" applyFont="1" applyFill="1" applyBorder="1" applyAlignment="1" applyProtection="1">
      <alignment horizontal="left" vertical="center" wrapText="1"/>
      <protection locked="0"/>
    </xf>
    <xf numFmtId="0" fontId="40" fillId="0" borderId="13" xfId="0" applyFont="1" applyBorder="1" applyAlignment="1" applyProtection="1">
      <alignment horizontal="center" vertical="center" wrapText="1"/>
    </xf>
    <xf numFmtId="0" fontId="40" fillId="0" borderId="24" xfId="0" applyFont="1" applyBorder="1" applyAlignment="1" applyProtection="1">
      <alignment horizontal="center" vertical="center" wrapText="1"/>
    </xf>
    <xf numFmtId="0" fontId="40" fillId="0" borderId="14" xfId="0" applyFont="1" applyBorder="1" applyAlignment="1" applyProtection="1">
      <alignment horizontal="center" vertical="center" wrapText="1"/>
    </xf>
    <xf numFmtId="0" fontId="40" fillId="0" borderId="31" xfId="0" applyFont="1" applyBorder="1" applyAlignment="1" applyProtection="1">
      <alignment horizontal="center" vertical="center" wrapText="1"/>
    </xf>
    <xf numFmtId="0" fontId="40" fillId="0" borderId="23" xfId="0" applyFont="1" applyBorder="1" applyAlignment="1" applyProtection="1">
      <alignment horizontal="center" vertical="center" wrapText="1"/>
    </xf>
    <xf numFmtId="0" fontId="40" fillId="0" borderId="57" xfId="0" applyFont="1" applyBorder="1" applyAlignment="1" applyProtection="1">
      <alignment horizontal="center" vertical="center" wrapText="1"/>
    </xf>
    <xf numFmtId="0" fontId="40" fillId="0" borderId="17" xfId="0" applyFont="1" applyBorder="1" applyAlignment="1" applyProtection="1">
      <alignment horizontal="center" vertical="center" wrapText="1"/>
    </xf>
    <xf numFmtId="0" fontId="40" fillId="0" borderId="37" xfId="0" applyFont="1" applyBorder="1" applyAlignment="1" applyProtection="1">
      <alignment horizontal="center" vertical="center" wrapText="1"/>
    </xf>
    <xf numFmtId="0" fontId="41" fillId="0" borderId="17" xfId="0" applyFont="1" applyBorder="1" applyAlignment="1" applyProtection="1">
      <alignment horizontal="center" vertical="center" wrapText="1"/>
    </xf>
    <xf numFmtId="0" fontId="41" fillId="0" borderId="58" xfId="0" applyFont="1" applyBorder="1" applyAlignment="1" applyProtection="1">
      <alignment horizontal="center" vertical="center" wrapText="1"/>
    </xf>
    <xf numFmtId="0" fontId="41" fillId="0" borderId="39" xfId="0" applyFont="1" applyBorder="1" applyAlignment="1" applyProtection="1">
      <alignment horizontal="center" vertical="center" wrapText="1"/>
    </xf>
    <xf numFmtId="0" fontId="41" fillId="0" borderId="40" xfId="0" applyFont="1" applyBorder="1" applyAlignment="1" applyProtection="1">
      <alignment horizontal="center" vertical="center" wrapText="1"/>
    </xf>
    <xf numFmtId="49" fontId="39" fillId="0" borderId="15" xfId="0" applyNumberFormat="1" applyFont="1" applyBorder="1" applyAlignment="1">
      <alignment horizontal="center" vertical="center" wrapText="1" readingOrder="1"/>
    </xf>
    <xf numFmtId="49" fontId="39" fillId="0" borderId="1" xfId="0" applyNumberFormat="1" applyFont="1" applyBorder="1" applyAlignment="1">
      <alignment horizontal="center" vertical="center" wrapText="1" readingOrder="1"/>
    </xf>
    <xf numFmtId="49" fontId="38" fillId="0" borderId="18" xfId="0" applyNumberFormat="1" applyFont="1" applyBorder="1" applyAlignment="1">
      <alignment horizontal="center" vertical="center" wrapText="1" readingOrder="1"/>
    </xf>
    <xf numFmtId="49" fontId="38" fillId="0" borderId="12" xfId="0" applyNumberFormat="1" applyFont="1" applyBorder="1" applyAlignment="1">
      <alignment horizontal="center" vertical="center" wrapText="1" readingOrder="1"/>
    </xf>
    <xf numFmtId="49" fontId="39" fillId="0" borderId="18" xfId="0" applyNumberFormat="1" applyFont="1" applyBorder="1" applyAlignment="1">
      <alignment horizontal="center" vertical="center" wrapText="1" readingOrder="1"/>
    </xf>
    <xf numFmtId="49" fontId="39" fillId="0" borderId="12" xfId="0" applyNumberFormat="1" applyFont="1" applyBorder="1" applyAlignment="1">
      <alignment horizontal="center" vertical="center" wrapText="1" readingOrder="1"/>
    </xf>
    <xf numFmtId="49" fontId="38" fillId="0" borderId="15" xfId="0" applyNumberFormat="1" applyFont="1" applyBorder="1" applyAlignment="1">
      <alignment horizontal="center" vertical="center" wrapText="1" readingOrder="1"/>
    </xf>
    <xf numFmtId="49" fontId="38" fillId="0" borderId="1" xfId="0" applyNumberFormat="1" applyFont="1" applyBorder="1" applyAlignment="1">
      <alignment horizontal="center" vertical="center" wrapText="1" readingOrder="1"/>
    </xf>
    <xf numFmtId="49" fontId="39" fillId="0" borderId="13" xfId="0" applyNumberFormat="1" applyFont="1" applyBorder="1" applyAlignment="1">
      <alignment horizontal="center" vertical="center" wrapText="1"/>
    </xf>
    <xf numFmtId="49" fontId="39" fillId="0" borderId="11" xfId="0" applyNumberFormat="1" applyFont="1" applyBorder="1" applyAlignment="1">
      <alignment horizontal="center" vertical="center"/>
    </xf>
    <xf numFmtId="49" fontId="39" fillId="0" borderId="19" xfId="0" applyNumberFormat="1" applyFont="1" applyBorder="1" applyAlignment="1">
      <alignment horizontal="center" vertical="center"/>
    </xf>
    <xf numFmtId="49" fontId="38" fillId="0" borderId="32" xfId="0" applyNumberFormat="1" applyFont="1" applyBorder="1" applyAlignment="1">
      <alignment horizontal="center" vertical="center" wrapText="1" readingOrder="1"/>
    </xf>
    <xf numFmtId="49" fontId="38" fillId="0" borderId="25" xfId="0" applyNumberFormat="1" applyFont="1" applyBorder="1" applyAlignment="1">
      <alignment horizontal="center" vertical="center" wrapText="1" readingOrder="1"/>
    </xf>
    <xf numFmtId="49" fontId="38" fillId="0" borderId="13" xfId="0" applyNumberFormat="1" applyFont="1" applyBorder="1" applyAlignment="1">
      <alignment horizontal="center" vertical="center" wrapText="1"/>
    </xf>
    <xf numFmtId="49" fontId="38" fillId="0" borderId="11" xfId="0" applyNumberFormat="1" applyFont="1" applyBorder="1" applyAlignment="1">
      <alignment horizontal="center" vertical="center"/>
    </xf>
    <xf numFmtId="49" fontId="38" fillId="0" borderId="19" xfId="0" applyNumberFormat="1" applyFont="1" applyBorder="1" applyAlignment="1">
      <alignment horizontal="center" vertical="center"/>
    </xf>
    <xf numFmtId="49" fontId="38" fillId="0" borderId="54" xfId="0" applyNumberFormat="1" applyFont="1" applyBorder="1" applyAlignment="1">
      <alignment horizontal="center" vertical="center" wrapText="1"/>
    </xf>
    <xf numFmtId="49" fontId="38" fillId="0" borderId="55" xfId="0" applyNumberFormat="1" applyFont="1" applyBorder="1" applyAlignment="1">
      <alignment horizontal="center" vertical="center"/>
    </xf>
    <xf numFmtId="49" fontId="38" fillId="0" borderId="56" xfId="0" applyNumberFormat="1" applyFont="1" applyBorder="1" applyAlignment="1">
      <alignment horizontal="center" vertical="center"/>
    </xf>
    <xf numFmtId="177" fontId="31" fillId="4" borderId="39" xfId="0" applyNumberFormat="1" applyFont="1" applyFill="1" applyBorder="1" applyAlignment="1">
      <alignment horizontal="center" vertical="center"/>
    </xf>
    <xf numFmtId="177" fontId="31" fillId="4" borderId="40" xfId="0" applyNumberFormat="1" applyFont="1" applyFill="1" applyBorder="1" applyAlignment="1">
      <alignment horizontal="center" vertical="center"/>
    </xf>
    <xf numFmtId="177" fontId="31" fillId="4" borderId="41" xfId="0" applyNumberFormat="1" applyFont="1" applyFill="1" applyBorder="1" applyAlignment="1">
      <alignment horizontal="center" vertical="center"/>
    </xf>
    <xf numFmtId="0" fontId="31" fillId="4" borderId="32" xfId="0" applyFont="1" applyFill="1" applyBorder="1" applyAlignment="1">
      <alignment horizontal="center" vertical="center" wrapText="1"/>
    </xf>
    <xf numFmtId="0" fontId="31" fillId="4" borderId="36" xfId="0" applyFont="1" applyFill="1" applyBorder="1" applyAlignment="1">
      <alignment horizontal="center" vertical="center"/>
    </xf>
    <xf numFmtId="0" fontId="30" fillId="4" borderId="13" xfId="0" applyFont="1" applyFill="1" applyBorder="1" applyAlignment="1">
      <alignment horizontal="center" vertical="center"/>
    </xf>
    <xf numFmtId="0" fontId="30" fillId="4" borderId="14" xfId="0" applyFont="1" applyFill="1" applyBorder="1" applyAlignment="1">
      <alignment horizontal="center" vertical="center"/>
    </xf>
    <xf numFmtId="0" fontId="30" fillId="4" borderId="19" xfId="0" applyFont="1" applyFill="1" applyBorder="1" applyAlignment="1">
      <alignment horizontal="center" vertical="center"/>
    </xf>
    <xf numFmtId="0" fontId="30" fillId="4" borderId="28" xfId="0" applyFont="1" applyFill="1" applyBorder="1" applyAlignment="1">
      <alignment horizontal="center" vertical="center"/>
    </xf>
    <xf numFmtId="0" fontId="31" fillId="4" borderId="13" xfId="0" applyFont="1" applyFill="1" applyBorder="1" applyAlignment="1">
      <alignment horizontal="center" vertical="center"/>
    </xf>
    <xf numFmtId="0" fontId="31" fillId="4" borderId="15" xfId="0" applyFont="1" applyFill="1" applyBorder="1" applyAlignment="1">
      <alignment horizontal="center" vertical="center"/>
    </xf>
    <xf numFmtId="0" fontId="31" fillId="4" borderId="32" xfId="0" applyFont="1" applyFill="1" applyBorder="1" applyAlignment="1">
      <alignment horizontal="center" vertical="center"/>
    </xf>
    <xf numFmtId="0" fontId="31" fillId="4" borderId="25" xfId="0" applyFont="1" applyFill="1" applyBorder="1" applyAlignment="1">
      <alignment horizontal="center" vertical="center"/>
    </xf>
    <xf numFmtId="0" fontId="31" fillId="4" borderId="2" xfId="0" applyFont="1" applyFill="1" applyBorder="1" applyAlignment="1">
      <alignment horizontal="center" vertical="center"/>
    </xf>
    <xf numFmtId="0" fontId="31" fillId="4" borderId="7" xfId="0" applyFont="1" applyFill="1" applyBorder="1" applyAlignment="1">
      <alignment horizontal="center" vertical="center"/>
    </xf>
    <xf numFmtId="0" fontId="31" fillId="4" borderId="3" xfId="0" applyFont="1" applyFill="1" applyBorder="1" applyAlignment="1">
      <alignment horizontal="center" vertical="center"/>
    </xf>
    <xf numFmtId="0" fontId="15" fillId="0" borderId="6" xfId="0" applyFont="1" applyBorder="1" applyAlignment="1">
      <alignment horizontal="left" wrapText="1"/>
    </xf>
    <xf numFmtId="0" fontId="15" fillId="0" borderId="4" xfId="0" applyFont="1" applyBorder="1" applyAlignment="1">
      <alignment horizontal="left" wrapText="1"/>
    </xf>
    <xf numFmtId="0" fontId="13" fillId="4" borderId="16" xfId="0" applyFont="1" applyFill="1" applyBorder="1" applyAlignment="1">
      <alignment horizontal="center" vertical="center" wrapText="1"/>
    </xf>
    <xf numFmtId="0" fontId="13" fillId="4" borderId="41" xfId="0" applyFont="1" applyFill="1" applyBorder="1" applyAlignment="1">
      <alignment horizontal="center" vertical="center" wrapText="1"/>
    </xf>
    <xf numFmtId="0" fontId="15" fillId="0" borderId="2" xfId="0" applyFont="1" applyBorder="1" applyAlignment="1">
      <alignment horizontal="left" wrapText="1"/>
    </xf>
    <xf numFmtId="0" fontId="15" fillId="0" borderId="3" xfId="0" applyFont="1" applyBorder="1" applyAlignment="1">
      <alignment horizontal="left" wrapText="1"/>
    </xf>
    <xf numFmtId="0" fontId="15" fillId="0" borderId="8" xfId="0" applyFont="1" applyBorder="1" applyAlignment="1">
      <alignment horizontal="center" wrapText="1"/>
    </xf>
    <xf numFmtId="0" fontId="15" fillId="0" borderId="9" xfId="0" applyFont="1" applyBorder="1" applyAlignment="1">
      <alignment horizontal="center" wrapText="1"/>
    </xf>
    <xf numFmtId="0" fontId="17" fillId="0" borderId="39" xfId="0" applyFont="1" applyBorder="1" applyAlignment="1">
      <alignment horizontal="center" wrapText="1"/>
    </xf>
    <xf numFmtId="0" fontId="17" fillId="0" borderId="41" xfId="0" applyFont="1" applyBorder="1" applyAlignment="1">
      <alignment horizontal="center" wrapText="1"/>
    </xf>
    <xf numFmtId="0" fontId="14" fillId="0" borderId="6" xfId="0" applyFont="1" applyFill="1" applyBorder="1"/>
    <xf numFmtId="0" fontId="14" fillId="0" borderId="4" xfId="0" applyFont="1" applyFill="1" applyBorder="1"/>
    <xf numFmtId="0" fontId="15" fillId="0" borderId="6" xfId="0" applyFont="1" applyBorder="1" applyAlignment="1">
      <alignment horizontal="left" vertical="center" wrapText="1"/>
    </xf>
    <xf numFmtId="0" fontId="15" fillId="0" borderId="4" xfId="0" applyFont="1" applyBorder="1" applyAlignment="1">
      <alignment horizontal="left" vertical="center" wrapText="1"/>
    </xf>
    <xf numFmtId="0" fontId="16" fillId="0" borderId="6" xfId="0" applyFont="1" applyFill="1" applyBorder="1"/>
    <xf numFmtId="0" fontId="16" fillId="0" borderId="4" xfId="0" applyFont="1" applyFill="1" applyBorder="1"/>
    <xf numFmtId="0" fontId="18" fillId="0" borderId="4" xfId="0" applyFont="1" applyBorder="1" applyAlignment="1">
      <alignment horizontal="left" vertical="center" wrapText="1"/>
    </xf>
    <xf numFmtId="0" fontId="18" fillId="0" borderId="6" xfId="0" applyFont="1" applyBorder="1" applyAlignment="1">
      <alignment horizontal="left"/>
    </xf>
    <xf numFmtId="0" fontId="18" fillId="0" borderId="4" xfId="0" applyFont="1" applyBorder="1" applyAlignment="1">
      <alignment horizontal="left"/>
    </xf>
    <xf numFmtId="0" fontId="20" fillId="0" borderId="6" xfId="0" applyFont="1" applyBorder="1" applyAlignment="1">
      <alignment horizontal="center" wrapText="1"/>
    </xf>
    <xf numFmtId="0" fontId="20" fillId="0" borderId="4" xfId="0" applyFont="1" applyBorder="1" applyAlignment="1">
      <alignment horizontal="center" wrapText="1"/>
    </xf>
    <xf numFmtId="0" fontId="18" fillId="0" borderId="6" xfId="0" applyFont="1" applyBorder="1" applyAlignment="1">
      <alignment horizontal="center" wrapText="1"/>
    </xf>
    <xf numFmtId="0" fontId="18" fillId="0" borderId="4" xfId="0" applyFont="1" applyBorder="1" applyAlignment="1">
      <alignment horizontal="center" wrapText="1"/>
    </xf>
    <xf numFmtId="0" fontId="14" fillId="0" borderId="6" xfId="0" applyFont="1" applyFill="1" applyBorder="1" applyAlignment="1">
      <alignment wrapText="1"/>
    </xf>
    <xf numFmtId="0" fontId="14" fillId="0" borderId="4" xfId="0" applyFont="1" applyFill="1" applyBorder="1" applyAlignment="1">
      <alignment wrapText="1"/>
    </xf>
    <xf numFmtId="0" fontId="28" fillId="2" borderId="66" xfId="0" applyFont="1" applyFill="1" applyBorder="1" applyAlignment="1" applyProtection="1">
      <alignment horizontal="center" vertical="center" wrapText="1"/>
    </xf>
    <xf numFmtId="177" fontId="32" fillId="2" borderId="39" xfId="0" applyNumberFormat="1" applyFont="1" applyFill="1" applyBorder="1" applyAlignment="1" applyProtection="1">
      <alignment horizontal="center" vertical="center" wrapText="1"/>
    </xf>
    <xf numFmtId="0" fontId="25" fillId="3" borderId="1" xfId="0" applyFont="1" applyFill="1" applyBorder="1" applyAlignment="1" applyProtection="1">
      <alignment horizontal="justify" vertical="center" wrapText="1"/>
    </xf>
    <xf numFmtId="0" fontId="32" fillId="0" borderId="0" xfId="0" applyFont="1" applyBorder="1" applyAlignment="1" applyProtection="1">
      <alignment horizontal="center" vertical="center" wrapText="1"/>
    </xf>
    <xf numFmtId="0" fontId="32" fillId="0" borderId="0" xfId="0" applyFont="1" applyBorder="1" applyAlignment="1" applyProtection="1">
      <alignment horizontal="center" vertical="center" wrapText="1"/>
    </xf>
    <xf numFmtId="0" fontId="32" fillId="0" borderId="0" xfId="0" applyFont="1" applyAlignment="1" applyProtection="1">
      <alignment horizontal="left" vertical="center" wrapText="1"/>
    </xf>
    <xf numFmtId="0" fontId="32" fillId="0" borderId="0" xfId="0" applyFont="1" applyAlignment="1" applyProtection="1">
      <alignment horizontal="center" vertical="center" wrapText="1"/>
    </xf>
    <xf numFmtId="177" fontId="32" fillId="0" borderId="0" xfId="0" applyNumberFormat="1" applyFont="1" applyAlignment="1" applyProtection="1">
      <alignment vertical="center" wrapText="1"/>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xdr:row>
          <xdr:rowOff>0</xdr:rowOff>
        </xdr:from>
        <xdr:to>
          <xdr:col>19</xdr:col>
          <xdr:colOff>142875</xdr:colOff>
          <xdr:row>2</xdr:row>
          <xdr:rowOff>142875</xdr:rowOff>
        </xdr:to>
        <xdr:sp macro="" textlink="">
          <xdr:nvSpPr>
            <xdr:cNvPr id="32769" name="FPACal" hidden="1">
              <a:extLst>
                <a:ext uri="{63B3BB69-23CF-44E3-9099-C40C66FF867C}">
                  <a14:compatExt spid="_x0000_s3276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xdr:row>
          <xdr:rowOff>0</xdr:rowOff>
        </xdr:from>
        <xdr:to>
          <xdr:col>19</xdr:col>
          <xdr:colOff>142875</xdr:colOff>
          <xdr:row>2</xdr:row>
          <xdr:rowOff>142875</xdr:rowOff>
        </xdr:to>
        <xdr:sp macro="" textlink="">
          <xdr:nvSpPr>
            <xdr:cNvPr id="29697" name="FPACal" hidden="1">
              <a:extLst>
                <a:ext uri="{63B3BB69-23CF-44E3-9099-C40C66FF867C}">
                  <a14:compatExt spid="_x0000_s2969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0</xdr:row>
          <xdr:rowOff>190500</xdr:rowOff>
        </xdr:from>
        <xdr:to>
          <xdr:col>19</xdr:col>
          <xdr:colOff>142875</xdr:colOff>
          <xdr:row>2</xdr:row>
          <xdr:rowOff>123825</xdr:rowOff>
        </xdr:to>
        <xdr:sp macro="" textlink="">
          <xdr:nvSpPr>
            <xdr:cNvPr id="26625" name="FPACal" hidden="1">
              <a:extLst>
                <a:ext uri="{63B3BB69-23CF-44E3-9099-C40C66FF867C}">
                  <a14:compatExt spid="_x0000_s26625"/>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6032;&#24314;&#25991;&#20214;&#22841;/&#31227;&#21160;&#32508;&#21512;&#19994;&#21153;&#21463;&#29702;FPA&#35780;&#20272;&#65288;&#36981;&#24490;v1.3.1&#27169;&#26495;&#65289;hexianhu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移动综合业务受理-2018年8月第二迭代"/>
      <sheetName val="移动综合业务受理-2018年8月第一迭代"/>
      <sheetName val="FPA参数表"/>
      <sheetName val="调整因子说明"/>
    </sheetNames>
    <sheetDataSet>
      <sheetData sheetId="0"/>
      <sheetData sheetId="1"/>
      <sheetData sheetId="2">
        <row r="3">
          <cell r="R3">
            <v>0.33660000000000001</v>
          </cell>
        </row>
        <row r="4">
          <cell r="R4">
            <v>0.33660000000000001</v>
          </cell>
        </row>
        <row r="5">
          <cell r="R5">
            <v>0.36040000000000005</v>
          </cell>
        </row>
        <row r="6">
          <cell r="R6">
            <v>0.30940000000000001</v>
          </cell>
        </row>
        <row r="7">
          <cell r="R7">
            <v>0.36379999999999996</v>
          </cell>
        </row>
        <row r="8">
          <cell r="R8">
            <v>0.32300000000000001</v>
          </cell>
        </row>
        <row r="9">
          <cell r="R9">
            <v>0.35699999999999998</v>
          </cell>
        </row>
      </sheetData>
      <sheetData sheetId="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58"/>
  <sheetViews>
    <sheetView tabSelected="1" zoomScale="115" zoomScaleNormal="115" workbookViewId="0">
      <pane xSplit="1" ySplit="3" topLeftCell="B16" activePane="bottomRight" state="frozen"/>
      <selection pane="topRight" activeCell="B1" sqref="B1"/>
      <selection pane="bottomLeft" activeCell="A4" sqref="A4"/>
      <selection pane="bottomRight" activeCell="D31" sqref="D31:D44"/>
    </sheetView>
  </sheetViews>
  <sheetFormatPr defaultColWidth="9.125" defaultRowHeight="13.5"/>
  <cols>
    <col min="1" max="2" width="6.5" style="170" customWidth="1"/>
    <col min="3" max="3" width="15.625" style="170" customWidth="1"/>
    <col min="4" max="4" width="33.125" style="268" bestFit="1" customWidth="1"/>
    <col min="5" max="5" width="37.75" style="170" customWidth="1"/>
    <col min="6" max="6" width="4.875" style="269" customWidth="1"/>
    <col min="7" max="7" width="4.875" style="269" bestFit="1" customWidth="1"/>
    <col min="8" max="8" width="4.125" style="170" customWidth="1"/>
    <col min="9" max="9" width="4.875" style="170" bestFit="1" customWidth="1"/>
    <col min="10" max="10" width="8.125" style="170" customWidth="1"/>
    <col min="11" max="11" width="5.125" style="170" customWidth="1"/>
    <col min="12" max="12" width="8.125" style="170" customWidth="1"/>
    <col min="13" max="13" width="6.125" style="170" customWidth="1"/>
    <col min="14" max="14" width="7.125" style="170" bestFit="1" customWidth="1"/>
    <col min="15" max="15" width="5.125" style="170" bestFit="1" customWidth="1"/>
    <col min="16" max="16" width="7.125" style="269" bestFit="1" customWidth="1"/>
    <col min="17" max="17" width="8" style="270" customWidth="1"/>
    <col min="18" max="18" width="3.75" style="170" customWidth="1"/>
    <col min="19" max="19" width="7" style="170" customWidth="1"/>
    <col min="20" max="16384" width="9.125" style="170"/>
  </cols>
  <sheetData>
    <row r="1" spans="1:18" ht="14.25" thickBot="1">
      <c r="A1" s="191" t="s">
        <v>173</v>
      </c>
      <c r="B1" s="193" t="s">
        <v>171</v>
      </c>
      <c r="C1" s="195" t="s">
        <v>184</v>
      </c>
      <c r="D1" s="197" t="s">
        <v>183</v>
      </c>
      <c r="E1" s="199" t="s">
        <v>176</v>
      </c>
      <c r="F1" s="201" t="s">
        <v>302</v>
      </c>
      <c r="G1" s="202"/>
      <c r="H1" s="202"/>
      <c r="I1" s="180" t="s">
        <v>301</v>
      </c>
      <c r="J1" s="181"/>
      <c r="K1" s="181"/>
      <c r="L1" s="181"/>
      <c r="M1" s="181"/>
      <c r="N1" s="181"/>
      <c r="O1" s="181"/>
      <c r="P1" s="182"/>
      <c r="Q1" s="183" t="s">
        <v>303</v>
      </c>
    </row>
    <row r="2" spans="1:18" ht="26.25" thickBot="1">
      <c r="A2" s="192"/>
      <c r="B2" s="194"/>
      <c r="C2" s="196"/>
      <c r="D2" s="198"/>
      <c r="E2" s="200"/>
      <c r="F2" s="137" t="s">
        <v>0</v>
      </c>
      <c r="G2" s="138" t="s">
        <v>196</v>
      </c>
      <c r="H2" s="138" t="s">
        <v>174</v>
      </c>
      <c r="I2" s="139" t="s">
        <v>300</v>
      </c>
      <c r="J2" s="140" t="s">
        <v>237</v>
      </c>
      <c r="K2" s="140" t="s">
        <v>185</v>
      </c>
      <c r="L2" s="140" t="s">
        <v>240</v>
      </c>
      <c r="M2" s="140" t="s">
        <v>238</v>
      </c>
      <c r="N2" s="140" t="s">
        <v>188</v>
      </c>
      <c r="O2" s="140" t="s">
        <v>175</v>
      </c>
      <c r="P2" s="141" t="s">
        <v>169</v>
      </c>
      <c r="Q2" s="184"/>
    </row>
    <row r="3" spans="1:18" ht="15" thickBot="1">
      <c r="A3" s="185" t="s">
        <v>304</v>
      </c>
      <c r="B3" s="186"/>
      <c r="C3" s="186"/>
      <c r="D3" s="186"/>
      <c r="E3" s="186"/>
      <c r="F3" s="186"/>
      <c r="G3" s="186"/>
      <c r="H3" s="186"/>
      <c r="I3" s="263">
        <v>0</v>
      </c>
      <c r="J3" s="264">
        <f>SUMPRODUCT(J4:J16*[1]FPA参数表!$R3,$H$4:$H$16)</f>
        <v>5.3519399999999999</v>
      </c>
      <c r="K3" s="264">
        <f>SUMPRODUCT(K4:K16*[1]FPA参数表!$R4,$H$4:$H$16)</f>
        <v>0</v>
      </c>
      <c r="L3" s="264">
        <f>SUMPRODUCT(L4:L16*[1]FPA参数表!$R5,$H$4:$H$16)</f>
        <v>0</v>
      </c>
      <c r="M3" s="264">
        <f>SUMPRODUCT(M4:M16*[1]FPA参数表!$R6,$H$4:$H$16)</f>
        <v>0</v>
      </c>
      <c r="N3" s="264">
        <f>SUMPRODUCT(N4:N16*[1]FPA参数表!$R7,$H$4:$H$16)</f>
        <v>0</v>
      </c>
      <c r="O3" s="264">
        <f>SUMPRODUCT(O4:O16*[1]FPA参数表!$R8,$H$4:$H$16)</f>
        <v>0</v>
      </c>
      <c r="P3" s="264">
        <f>SUMPRODUCT(P4:P16*[1]FPA参数表!$R9,$H$4:$H$16)</f>
        <v>0</v>
      </c>
      <c r="Q3" s="144">
        <f>SUM(I3:P3)</f>
        <v>5.3519399999999999</v>
      </c>
    </row>
    <row r="4" spans="1:18">
      <c r="A4" s="265"/>
      <c r="B4" s="187" t="s">
        <v>376</v>
      </c>
      <c r="C4" s="187" t="s">
        <v>377</v>
      </c>
      <c r="D4" s="189"/>
      <c r="E4" s="162" t="s">
        <v>307</v>
      </c>
      <c r="F4" s="163" t="s">
        <v>167</v>
      </c>
      <c r="G4" s="163" t="s">
        <v>254</v>
      </c>
      <c r="H4" s="151">
        <v>3</v>
      </c>
      <c r="I4" s="145"/>
      <c r="J4" s="163">
        <v>0.7</v>
      </c>
      <c r="K4" s="146"/>
      <c r="L4" s="146"/>
      <c r="M4" s="146"/>
      <c r="N4" s="146"/>
      <c r="O4" s="146"/>
      <c r="P4" s="146"/>
      <c r="Q4" s="152">
        <v>0.7068600058555603</v>
      </c>
      <c r="R4" s="266"/>
    </row>
    <row r="5" spans="1:18">
      <c r="A5" s="265"/>
      <c r="B5" s="188"/>
      <c r="C5" s="188"/>
      <c r="D5" s="190"/>
      <c r="E5" s="162" t="s">
        <v>378</v>
      </c>
      <c r="F5" s="163" t="s">
        <v>164</v>
      </c>
      <c r="G5" s="163" t="s">
        <v>254</v>
      </c>
      <c r="H5" s="151">
        <v>3</v>
      </c>
      <c r="I5" s="145"/>
      <c r="J5" s="163">
        <v>0.7</v>
      </c>
      <c r="K5" s="146"/>
      <c r="L5" s="146"/>
      <c r="M5" s="146"/>
      <c r="N5" s="146"/>
      <c r="O5" s="146"/>
      <c r="P5" s="146"/>
      <c r="Q5" s="152">
        <v>0.7068600058555603</v>
      </c>
      <c r="R5" s="266"/>
    </row>
    <row r="6" spans="1:18">
      <c r="A6" s="265"/>
      <c r="B6" s="188"/>
      <c r="C6" s="188"/>
      <c r="D6" s="190"/>
      <c r="E6" s="164" t="s">
        <v>379</v>
      </c>
      <c r="F6" s="163" t="s">
        <v>164</v>
      </c>
      <c r="G6" s="163" t="s">
        <v>248</v>
      </c>
      <c r="H6" s="151">
        <v>4</v>
      </c>
      <c r="I6" s="145"/>
      <c r="J6" s="163">
        <v>0.3</v>
      </c>
      <c r="K6" s="146"/>
      <c r="L6" s="146"/>
      <c r="M6" s="146"/>
      <c r="N6" s="146"/>
      <c r="O6" s="146"/>
      <c r="P6" s="146"/>
      <c r="Q6" s="152">
        <v>0.40392002463340759</v>
      </c>
      <c r="R6" s="266"/>
    </row>
    <row r="7" spans="1:18">
      <c r="A7" s="265"/>
      <c r="B7" s="188"/>
      <c r="C7" s="188"/>
      <c r="D7" s="190"/>
      <c r="E7" s="164" t="s">
        <v>380</v>
      </c>
      <c r="F7" s="163" t="s">
        <v>164</v>
      </c>
      <c r="G7" s="163" t="s">
        <v>248</v>
      </c>
      <c r="H7" s="151">
        <v>4</v>
      </c>
      <c r="I7" s="145"/>
      <c r="J7" s="163">
        <v>0.3</v>
      </c>
      <c r="K7" s="146"/>
      <c r="L7" s="146"/>
      <c r="M7" s="146"/>
      <c r="N7" s="146"/>
      <c r="O7" s="146"/>
      <c r="P7" s="146"/>
      <c r="Q7" s="152">
        <v>0.40392002463340759</v>
      </c>
      <c r="R7" s="266"/>
    </row>
    <row r="8" spans="1:18">
      <c r="A8" s="265"/>
      <c r="B8" s="188"/>
      <c r="C8" s="188"/>
      <c r="D8" s="190"/>
      <c r="E8" s="164" t="s">
        <v>381</v>
      </c>
      <c r="F8" s="163" t="s">
        <v>164</v>
      </c>
      <c r="G8" s="163" t="s">
        <v>248</v>
      </c>
      <c r="H8" s="151">
        <v>4</v>
      </c>
      <c r="I8" s="145"/>
      <c r="J8" s="163">
        <v>0.3</v>
      </c>
      <c r="K8" s="146"/>
      <c r="L8" s="146"/>
      <c r="M8" s="146"/>
      <c r="N8" s="146"/>
      <c r="O8" s="146"/>
      <c r="P8" s="146"/>
      <c r="Q8" s="152">
        <v>0.40392002463340759</v>
      </c>
      <c r="R8" s="266"/>
    </row>
    <row r="9" spans="1:18">
      <c r="A9" s="265"/>
      <c r="B9" s="188"/>
      <c r="C9" s="188"/>
      <c r="D9" s="190"/>
      <c r="E9" s="164" t="s">
        <v>382</v>
      </c>
      <c r="F9" s="163" t="s">
        <v>164</v>
      </c>
      <c r="G9" s="163" t="s">
        <v>254</v>
      </c>
      <c r="H9" s="151">
        <v>3</v>
      </c>
      <c r="I9" s="145"/>
      <c r="J9" s="163">
        <v>0.3</v>
      </c>
      <c r="K9" s="146"/>
      <c r="L9" s="146"/>
      <c r="M9" s="146"/>
      <c r="N9" s="146"/>
      <c r="O9" s="146"/>
      <c r="P9" s="146"/>
      <c r="Q9" s="152">
        <v>0.3029400110244751</v>
      </c>
      <c r="R9" s="266"/>
    </row>
    <row r="10" spans="1:18">
      <c r="A10" s="265"/>
      <c r="B10" s="188"/>
      <c r="C10" s="188"/>
      <c r="D10" s="190"/>
      <c r="E10" s="162" t="s">
        <v>383</v>
      </c>
      <c r="F10" s="165" t="s">
        <v>164</v>
      </c>
      <c r="G10" s="165" t="s">
        <v>254</v>
      </c>
      <c r="H10" s="151">
        <v>3</v>
      </c>
      <c r="I10" s="145"/>
      <c r="J10" s="163">
        <v>0.3</v>
      </c>
      <c r="K10" s="146"/>
      <c r="L10" s="146"/>
      <c r="M10" s="146"/>
      <c r="N10" s="146"/>
      <c r="O10" s="146"/>
      <c r="P10" s="146"/>
      <c r="Q10" s="152">
        <v>0.3029400110244751</v>
      </c>
      <c r="R10" s="266"/>
    </row>
    <row r="11" spans="1:18">
      <c r="A11" s="265"/>
      <c r="B11" s="188"/>
      <c r="C11" s="188"/>
      <c r="D11" s="190"/>
      <c r="E11" s="162" t="s">
        <v>384</v>
      </c>
      <c r="F11" s="166" t="s">
        <v>289</v>
      </c>
      <c r="G11" s="166" t="s">
        <v>254</v>
      </c>
      <c r="H11" s="151">
        <v>4</v>
      </c>
      <c r="I11" s="145"/>
      <c r="J11" s="163">
        <v>0.3</v>
      </c>
      <c r="K11" s="146"/>
      <c r="L11" s="146"/>
      <c r="M11" s="146"/>
      <c r="N11" s="146"/>
      <c r="O11" s="146"/>
      <c r="P11" s="146"/>
      <c r="Q11" s="152">
        <v>0.40392002463340759</v>
      </c>
      <c r="R11" s="266"/>
    </row>
    <row r="12" spans="1:18">
      <c r="A12" s="265"/>
      <c r="B12" s="188"/>
      <c r="C12" s="188"/>
      <c r="D12" s="190"/>
      <c r="E12" s="162" t="s">
        <v>385</v>
      </c>
      <c r="F12" s="163" t="s">
        <v>164</v>
      </c>
      <c r="G12" s="163" t="s">
        <v>248</v>
      </c>
      <c r="H12" s="151">
        <v>4</v>
      </c>
      <c r="I12" s="145"/>
      <c r="J12" s="163">
        <v>0.3</v>
      </c>
      <c r="K12" s="146"/>
      <c r="L12" s="146"/>
      <c r="M12" s="146"/>
      <c r="N12" s="146"/>
      <c r="O12" s="146"/>
      <c r="P12" s="146"/>
      <c r="Q12" s="152">
        <v>0.40392002463340759</v>
      </c>
      <c r="R12" s="266"/>
    </row>
    <row r="13" spans="1:18">
      <c r="A13" s="265"/>
      <c r="B13" s="188"/>
      <c r="C13" s="188"/>
      <c r="D13" s="190"/>
      <c r="E13" s="162" t="s">
        <v>386</v>
      </c>
      <c r="F13" s="166" t="s">
        <v>164</v>
      </c>
      <c r="G13" s="166" t="s">
        <v>254</v>
      </c>
      <c r="H13" s="151">
        <v>3</v>
      </c>
      <c r="I13" s="145"/>
      <c r="J13" s="163">
        <v>0.3</v>
      </c>
      <c r="K13" s="146"/>
      <c r="L13" s="146"/>
      <c r="M13" s="146"/>
      <c r="N13" s="146"/>
      <c r="O13" s="146"/>
      <c r="P13" s="146"/>
      <c r="Q13" s="152">
        <v>0.3029400110244751</v>
      </c>
      <c r="R13" s="266"/>
    </row>
    <row r="14" spans="1:18">
      <c r="A14" s="265"/>
      <c r="B14" s="188"/>
      <c r="C14" s="188"/>
      <c r="D14" s="190"/>
      <c r="E14" s="167" t="s">
        <v>387</v>
      </c>
      <c r="F14" s="166" t="s">
        <v>164</v>
      </c>
      <c r="G14" s="166" t="s">
        <v>254</v>
      </c>
      <c r="H14" s="156">
        <v>3</v>
      </c>
      <c r="I14" s="145"/>
      <c r="J14" s="163">
        <v>0.3</v>
      </c>
      <c r="K14" s="146"/>
      <c r="L14" s="146"/>
      <c r="M14" s="146"/>
      <c r="N14" s="146"/>
      <c r="O14" s="146"/>
      <c r="P14" s="146"/>
      <c r="Q14" s="152">
        <v>0.3029400110244751</v>
      </c>
      <c r="R14" s="266"/>
    </row>
    <row r="15" spans="1:18">
      <c r="A15" s="265"/>
      <c r="B15" s="188"/>
      <c r="C15" s="188"/>
      <c r="D15" s="190"/>
      <c r="E15" s="162" t="s">
        <v>388</v>
      </c>
      <c r="F15" s="166" t="s">
        <v>164</v>
      </c>
      <c r="G15" s="166" t="s">
        <v>254</v>
      </c>
      <c r="H15" s="156">
        <v>3</v>
      </c>
      <c r="I15" s="145"/>
      <c r="J15" s="163">
        <v>0.3</v>
      </c>
      <c r="K15" s="146"/>
      <c r="L15" s="146"/>
      <c r="M15" s="146"/>
      <c r="N15" s="146"/>
      <c r="O15" s="146"/>
      <c r="P15" s="146"/>
      <c r="Q15" s="152">
        <v>0.3029400110244751</v>
      </c>
      <c r="R15" s="169"/>
    </row>
    <row r="16" spans="1:18">
      <c r="A16" s="265"/>
      <c r="B16" s="188"/>
      <c r="C16" s="188"/>
      <c r="D16" s="190"/>
      <c r="E16" s="167" t="s">
        <v>389</v>
      </c>
      <c r="F16" s="166" t="s">
        <v>164</v>
      </c>
      <c r="G16" s="166" t="s">
        <v>248</v>
      </c>
      <c r="H16" s="156">
        <v>4</v>
      </c>
      <c r="I16" s="145"/>
      <c r="J16" s="163">
        <v>0.3</v>
      </c>
      <c r="K16" s="146"/>
      <c r="L16" s="146"/>
      <c r="M16" s="146"/>
      <c r="N16" s="146"/>
      <c r="O16" s="146"/>
      <c r="P16" s="146"/>
      <c r="Q16" s="152">
        <v>0.40392002463340759</v>
      </c>
      <c r="R16" s="267"/>
    </row>
    <row r="17" spans="1:18">
      <c r="A17" s="265"/>
      <c r="B17" s="187" t="s">
        <v>390</v>
      </c>
      <c r="C17" s="187" t="s">
        <v>391</v>
      </c>
      <c r="D17" s="189"/>
      <c r="E17" s="162" t="s">
        <v>392</v>
      </c>
      <c r="F17" s="163" t="s">
        <v>167</v>
      </c>
      <c r="G17" s="163" t="s">
        <v>254</v>
      </c>
      <c r="H17" s="151">
        <v>3</v>
      </c>
      <c r="I17" s="145"/>
      <c r="J17" s="163">
        <v>0.7</v>
      </c>
      <c r="K17" s="146"/>
      <c r="L17" s="146"/>
      <c r="M17" s="146"/>
      <c r="N17" s="146"/>
      <c r="O17" s="146"/>
      <c r="P17" s="146"/>
      <c r="Q17" s="152">
        <v>0.7068600058555603</v>
      </c>
      <c r="R17" s="266"/>
    </row>
    <row r="18" spans="1:18">
      <c r="A18" s="265"/>
      <c r="B18" s="188"/>
      <c r="C18" s="188"/>
      <c r="D18" s="190"/>
      <c r="E18" s="162" t="s">
        <v>393</v>
      </c>
      <c r="F18" s="163" t="s">
        <v>167</v>
      </c>
      <c r="G18" s="163" t="s">
        <v>254</v>
      </c>
      <c r="H18" s="151">
        <v>3</v>
      </c>
      <c r="I18" s="145"/>
      <c r="J18" s="163">
        <v>0.7</v>
      </c>
      <c r="K18" s="146"/>
      <c r="L18" s="146"/>
      <c r="M18" s="146"/>
      <c r="N18" s="146"/>
      <c r="O18" s="146"/>
      <c r="P18" s="146"/>
      <c r="Q18" s="152">
        <v>0.7068600058555603</v>
      </c>
      <c r="R18" s="266"/>
    </row>
    <row r="19" spans="1:18">
      <c r="A19" s="265"/>
      <c r="B19" s="188"/>
      <c r="C19" s="188"/>
      <c r="D19" s="190"/>
      <c r="E19" s="162" t="s">
        <v>394</v>
      </c>
      <c r="F19" s="163" t="s">
        <v>164</v>
      </c>
      <c r="G19" s="163" t="s">
        <v>254</v>
      </c>
      <c r="H19" s="151">
        <v>3</v>
      </c>
      <c r="I19" s="145"/>
      <c r="J19" s="163">
        <v>0.7</v>
      </c>
      <c r="K19" s="146"/>
      <c r="L19" s="146"/>
      <c r="M19" s="146"/>
      <c r="N19" s="146"/>
      <c r="O19" s="146"/>
      <c r="P19" s="146"/>
      <c r="Q19" s="152">
        <v>0.7068600058555603</v>
      </c>
      <c r="R19" s="266"/>
    </row>
    <row r="20" spans="1:18">
      <c r="A20" s="265"/>
      <c r="B20" s="188"/>
      <c r="C20" s="188"/>
      <c r="D20" s="190"/>
      <c r="E20" s="164" t="s">
        <v>395</v>
      </c>
      <c r="F20" s="163" t="s">
        <v>164</v>
      </c>
      <c r="G20" s="163" t="s">
        <v>248</v>
      </c>
      <c r="H20" s="151">
        <v>4</v>
      </c>
      <c r="I20" s="145"/>
      <c r="J20" s="163">
        <v>0.3</v>
      </c>
      <c r="K20" s="146"/>
      <c r="L20" s="146"/>
      <c r="M20" s="146"/>
      <c r="N20" s="146"/>
      <c r="O20" s="146"/>
      <c r="P20" s="146"/>
      <c r="Q20" s="152">
        <v>0.40392002463340759</v>
      </c>
      <c r="R20" s="266"/>
    </row>
    <row r="21" spans="1:18">
      <c r="A21" s="265"/>
      <c r="B21" s="188"/>
      <c r="C21" s="188"/>
      <c r="D21" s="190"/>
      <c r="E21" s="164" t="s">
        <v>396</v>
      </c>
      <c r="F21" s="163" t="s">
        <v>164</v>
      </c>
      <c r="G21" s="163" t="s">
        <v>248</v>
      </c>
      <c r="H21" s="151">
        <v>4</v>
      </c>
      <c r="I21" s="145"/>
      <c r="J21" s="163">
        <v>0.3</v>
      </c>
      <c r="K21" s="146"/>
      <c r="L21" s="146"/>
      <c r="M21" s="146"/>
      <c r="N21" s="146"/>
      <c r="O21" s="146"/>
      <c r="P21" s="146"/>
      <c r="Q21" s="152">
        <v>0.40392002463340759</v>
      </c>
      <c r="R21" s="266"/>
    </row>
    <row r="22" spans="1:18">
      <c r="A22" s="265"/>
      <c r="B22" s="188"/>
      <c r="C22" s="188"/>
      <c r="D22" s="190"/>
      <c r="E22" s="164" t="s">
        <v>397</v>
      </c>
      <c r="F22" s="163" t="s">
        <v>164</v>
      </c>
      <c r="G22" s="163" t="s">
        <v>248</v>
      </c>
      <c r="H22" s="151">
        <v>4</v>
      </c>
      <c r="I22" s="145"/>
      <c r="J22" s="163">
        <v>0.3</v>
      </c>
      <c r="K22" s="146"/>
      <c r="L22" s="146"/>
      <c r="M22" s="146"/>
      <c r="N22" s="146"/>
      <c r="O22" s="146"/>
      <c r="P22" s="146"/>
      <c r="Q22" s="152">
        <v>0.40392002463340759</v>
      </c>
      <c r="R22" s="266"/>
    </row>
    <row r="23" spans="1:18">
      <c r="A23" s="265"/>
      <c r="B23" s="188"/>
      <c r="C23" s="188"/>
      <c r="D23" s="190"/>
      <c r="E23" s="164" t="s">
        <v>398</v>
      </c>
      <c r="F23" s="163" t="s">
        <v>164</v>
      </c>
      <c r="G23" s="163" t="s">
        <v>254</v>
      </c>
      <c r="H23" s="151">
        <v>3</v>
      </c>
      <c r="I23" s="145"/>
      <c r="J23" s="163">
        <v>0.3</v>
      </c>
      <c r="K23" s="146"/>
      <c r="L23" s="146"/>
      <c r="M23" s="146"/>
      <c r="N23" s="146"/>
      <c r="O23" s="146"/>
      <c r="P23" s="146"/>
      <c r="Q23" s="152">
        <v>0.3029400110244751</v>
      </c>
      <c r="R23" s="266"/>
    </row>
    <row r="24" spans="1:18">
      <c r="A24" s="265"/>
      <c r="B24" s="188"/>
      <c r="C24" s="188"/>
      <c r="D24" s="190"/>
      <c r="E24" s="162" t="s">
        <v>399</v>
      </c>
      <c r="F24" s="165" t="s">
        <v>164</v>
      </c>
      <c r="G24" s="165" t="s">
        <v>254</v>
      </c>
      <c r="H24" s="151">
        <v>3</v>
      </c>
      <c r="I24" s="145"/>
      <c r="J24" s="163">
        <v>0.3</v>
      </c>
      <c r="K24" s="146"/>
      <c r="L24" s="146"/>
      <c r="M24" s="146"/>
      <c r="N24" s="146"/>
      <c r="O24" s="146"/>
      <c r="P24" s="146"/>
      <c r="Q24" s="152">
        <v>0.3029400110244751</v>
      </c>
      <c r="R24" s="266"/>
    </row>
    <row r="25" spans="1:18">
      <c r="A25" s="265"/>
      <c r="B25" s="188"/>
      <c r="C25" s="188"/>
      <c r="D25" s="190"/>
      <c r="E25" s="162" t="s">
        <v>384</v>
      </c>
      <c r="F25" s="166" t="s">
        <v>289</v>
      </c>
      <c r="G25" s="166" t="s">
        <v>254</v>
      </c>
      <c r="H25" s="151">
        <v>4</v>
      </c>
      <c r="I25" s="145"/>
      <c r="J25" s="163">
        <v>0.3</v>
      </c>
      <c r="K25" s="146"/>
      <c r="L25" s="146"/>
      <c r="M25" s="146"/>
      <c r="N25" s="146"/>
      <c r="O25" s="146"/>
      <c r="P25" s="146"/>
      <c r="Q25" s="152">
        <v>0.40392002463340759</v>
      </c>
      <c r="R25" s="266"/>
    </row>
    <row r="26" spans="1:18">
      <c r="A26" s="265"/>
      <c r="B26" s="188"/>
      <c r="C26" s="188"/>
      <c r="D26" s="190"/>
      <c r="E26" s="162" t="s">
        <v>385</v>
      </c>
      <c r="F26" s="163" t="s">
        <v>164</v>
      </c>
      <c r="G26" s="163" t="s">
        <v>248</v>
      </c>
      <c r="H26" s="151">
        <v>4</v>
      </c>
      <c r="I26" s="145"/>
      <c r="J26" s="163">
        <v>0.3</v>
      </c>
      <c r="K26" s="146"/>
      <c r="L26" s="146"/>
      <c r="M26" s="146"/>
      <c r="N26" s="146"/>
      <c r="O26" s="146"/>
      <c r="P26" s="146"/>
      <c r="Q26" s="152">
        <v>0.40392002463340759</v>
      </c>
      <c r="R26" s="266"/>
    </row>
    <row r="27" spans="1:18">
      <c r="A27" s="265"/>
      <c r="B27" s="188"/>
      <c r="C27" s="188"/>
      <c r="D27" s="190"/>
      <c r="E27" s="162" t="s">
        <v>386</v>
      </c>
      <c r="F27" s="166" t="s">
        <v>164</v>
      </c>
      <c r="G27" s="166" t="s">
        <v>254</v>
      </c>
      <c r="H27" s="151">
        <v>3</v>
      </c>
      <c r="I27" s="145"/>
      <c r="J27" s="163">
        <v>0.3</v>
      </c>
      <c r="K27" s="146"/>
      <c r="L27" s="146"/>
      <c r="M27" s="146"/>
      <c r="N27" s="146"/>
      <c r="O27" s="146"/>
      <c r="P27" s="146"/>
      <c r="Q27" s="152">
        <v>0.3029400110244751</v>
      </c>
      <c r="R27" s="266"/>
    </row>
    <row r="28" spans="1:18">
      <c r="A28" s="265"/>
      <c r="B28" s="188"/>
      <c r="C28" s="188"/>
      <c r="D28" s="190"/>
      <c r="E28" s="167" t="s">
        <v>387</v>
      </c>
      <c r="F28" s="166" t="s">
        <v>164</v>
      </c>
      <c r="G28" s="166" t="s">
        <v>254</v>
      </c>
      <c r="H28" s="156">
        <v>3</v>
      </c>
      <c r="I28" s="145"/>
      <c r="J28" s="163">
        <v>0.3</v>
      </c>
      <c r="K28" s="146"/>
      <c r="L28" s="146"/>
      <c r="M28" s="146"/>
      <c r="N28" s="146"/>
      <c r="O28" s="146"/>
      <c r="P28" s="146"/>
      <c r="Q28" s="152">
        <v>0.3029400110244751</v>
      </c>
      <c r="R28" s="266"/>
    </row>
    <row r="29" spans="1:18">
      <c r="A29" s="265"/>
      <c r="B29" s="188"/>
      <c r="C29" s="188"/>
      <c r="D29" s="190"/>
      <c r="E29" s="162" t="s">
        <v>388</v>
      </c>
      <c r="F29" s="166" t="s">
        <v>164</v>
      </c>
      <c r="G29" s="166" t="s">
        <v>254</v>
      </c>
      <c r="H29" s="156">
        <v>3</v>
      </c>
      <c r="I29" s="145"/>
      <c r="J29" s="163">
        <v>0.3</v>
      </c>
      <c r="K29" s="146"/>
      <c r="L29" s="146"/>
      <c r="M29" s="146"/>
      <c r="N29" s="146"/>
      <c r="O29" s="146"/>
      <c r="P29" s="146"/>
      <c r="Q29" s="152">
        <v>0.3029400110244751</v>
      </c>
      <c r="R29" s="169"/>
    </row>
    <row r="30" spans="1:18">
      <c r="A30" s="265"/>
      <c r="B30" s="188"/>
      <c r="C30" s="188"/>
      <c r="D30" s="190"/>
      <c r="E30" s="167" t="s">
        <v>389</v>
      </c>
      <c r="F30" s="166" t="s">
        <v>164</v>
      </c>
      <c r="G30" s="166" t="s">
        <v>248</v>
      </c>
      <c r="H30" s="156">
        <v>4</v>
      </c>
      <c r="I30" s="145"/>
      <c r="J30" s="163">
        <v>0.3</v>
      </c>
      <c r="K30" s="146"/>
      <c r="L30" s="146"/>
      <c r="M30" s="146"/>
      <c r="N30" s="146"/>
      <c r="O30" s="146"/>
      <c r="P30" s="146"/>
      <c r="Q30" s="152">
        <v>0.40392002463340759</v>
      </c>
      <c r="R30" s="267"/>
    </row>
    <row r="31" spans="1:18">
      <c r="A31" s="265"/>
      <c r="B31" s="187" t="s">
        <v>400</v>
      </c>
      <c r="C31" s="187" t="s">
        <v>401</v>
      </c>
      <c r="D31" s="189"/>
      <c r="E31" s="162" t="s">
        <v>402</v>
      </c>
      <c r="F31" s="163" t="s">
        <v>167</v>
      </c>
      <c r="G31" s="163" t="s">
        <v>254</v>
      </c>
      <c r="H31" s="151">
        <v>3</v>
      </c>
      <c r="I31" s="145"/>
      <c r="J31" s="163">
        <v>0.7</v>
      </c>
      <c r="K31" s="146"/>
      <c r="L31" s="146"/>
      <c r="M31" s="146"/>
      <c r="N31" s="146"/>
      <c r="O31" s="146"/>
      <c r="P31" s="146"/>
      <c r="Q31" s="152">
        <v>0.7068600058555603</v>
      </c>
      <c r="R31" s="266"/>
    </row>
    <row r="32" spans="1:18">
      <c r="A32" s="265"/>
      <c r="B32" s="188"/>
      <c r="C32" s="188"/>
      <c r="D32" s="190"/>
      <c r="E32" s="162" t="s">
        <v>403</v>
      </c>
      <c r="F32" s="163" t="s">
        <v>167</v>
      </c>
      <c r="G32" s="163" t="s">
        <v>254</v>
      </c>
      <c r="H32" s="151">
        <v>3</v>
      </c>
      <c r="I32" s="145"/>
      <c r="J32" s="163">
        <v>0.7</v>
      </c>
      <c r="K32" s="146"/>
      <c r="L32" s="146"/>
      <c r="M32" s="146"/>
      <c r="N32" s="146"/>
      <c r="O32" s="146"/>
      <c r="P32" s="146"/>
      <c r="Q32" s="152">
        <v>0.7068600058555603</v>
      </c>
      <c r="R32" s="266"/>
    </row>
    <row r="33" spans="1:18">
      <c r="A33" s="265"/>
      <c r="B33" s="188"/>
      <c r="C33" s="188"/>
      <c r="D33" s="190"/>
      <c r="E33" s="162" t="s">
        <v>404</v>
      </c>
      <c r="F33" s="163" t="s">
        <v>164</v>
      </c>
      <c r="G33" s="163" t="s">
        <v>254</v>
      </c>
      <c r="H33" s="151">
        <v>3</v>
      </c>
      <c r="I33" s="145"/>
      <c r="J33" s="163">
        <v>0.7</v>
      </c>
      <c r="K33" s="146"/>
      <c r="L33" s="146"/>
      <c r="M33" s="146"/>
      <c r="N33" s="146"/>
      <c r="O33" s="146"/>
      <c r="P33" s="146"/>
      <c r="Q33" s="152">
        <v>0.7068600058555603</v>
      </c>
      <c r="R33" s="266"/>
    </row>
    <row r="34" spans="1:18">
      <c r="A34" s="265"/>
      <c r="B34" s="188"/>
      <c r="C34" s="188"/>
      <c r="D34" s="190"/>
      <c r="E34" s="164" t="s">
        <v>395</v>
      </c>
      <c r="F34" s="163" t="s">
        <v>164</v>
      </c>
      <c r="G34" s="163" t="s">
        <v>248</v>
      </c>
      <c r="H34" s="151">
        <v>4</v>
      </c>
      <c r="I34" s="145"/>
      <c r="J34" s="163">
        <v>0.3</v>
      </c>
      <c r="K34" s="146"/>
      <c r="L34" s="146"/>
      <c r="M34" s="146"/>
      <c r="N34" s="146"/>
      <c r="O34" s="146"/>
      <c r="P34" s="146"/>
      <c r="Q34" s="152">
        <v>0.40392002463340759</v>
      </c>
      <c r="R34" s="266"/>
    </row>
    <row r="35" spans="1:18">
      <c r="A35" s="265"/>
      <c r="B35" s="188"/>
      <c r="C35" s="188"/>
      <c r="D35" s="190"/>
      <c r="E35" s="164" t="s">
        <v>396</v>
      </c>
      <c r="F35" s="163" t="s">
        <v>164</v>
      </c>
      <c r="G35" s="163" t="s">
        <v>248</v>
      </c>
      <c r="H35" s="151">
        <v>4</v>
      </c>
      <c r="I35" s="145"/>
      <c r="J35" s="163">
        <v>0.3</v>
      </c>
      <c r="K35" s="146"/>
      <c r="L35" s="146"/>
      <c r="M35" s="146"/>
      <c r="N35" s="146"/>
      <c r="O35" s="146"/>
      <c r="P35" s="146"/>
      <c r="Q35" s="152">
        <v>0.40392002463340759</v>
      </c>
      <c r="R35" s="266"/>
    </row>
    <row r="36" spans="1:18">
      <c r="A36" s="265"/>
      <c r="B36" s="188"/>
      <c r="C36" s="188"/>
      <c r="D36" s="190"/>
      <c r="E36" s="164" t="s">
        <v>397</v>
      </c>
      <c r="F36" s="163" t="s">
        <v>164</v>
      </c>
      <c r="G36" s="163" t="s">
        <v>248</v>
      </c>
      <c r="H36" s="151">
        <v>4</v>
      </c>
      <c r="I36" s="145"/>
      <c r="J36" s="163">
        <v>0.3</v>
      </c>
      <c r="K36" s="146"/>
      <c r="L36" s="146"/>
      <c r="M36" s="146"/>
      <c r="N36" s="146"/>
      <c r="O36" s="146"/>
      <c r="P36" s="146"/>
      <c r="Q36" s="152">
        <v>0.40392002463340759</v>
      </c>
      <c r="R36" s="266"/>
    </row>
    <row r="37" spans="1:18">
      <c r="A37" s="265"/>
      <c r="B37" s="188"/>
      <c r="C37" s="188"/>
      <c r="D37" s="190"/>
      <c r="E37" s="164" t="s">
        <v>398</v>
      </c>
      <c r="F37" s="163" t="s">
        <v>164</v>
      </c>
      <c r="G37" s="163" t="s">
        <v>254</v>
      </c>
      <c r="H37" s="151">
        <v>3</v>
      </c>
      <c r="I37" s="145"/>
      <c r="J37" s="163">
        <v>0.3</v>
      </c>
      <c r="K37" s="146"/>
      <c r="L37" s="146"/>
      <c r="M37" s="146"/>
      <c r="N37" s="146"/>
      <c r="O37" s="146"/>
      <c r="P37" s="146"/>
      <c r="Q37" s="152">
        <v>0.3029400110244751</v>
      </c>
      <c r="R37" s="266"/>
    </row>
    <row r="38" spans="1:18">
      <c r="A38" s="265"/>
      <c r="B38" s="188"/>
      <c r="C38" s="188"/>
      <c r="D38" s="190"/>
      <c r="E38" s="162" t="s">
        <v>399</v>
      </c>
      <c r="F38" s="165" t="s">
        <v>164</v>
      </c>
      <c r="G38" s="165" t="s">
        <v>254</v>
      </c>
      <c r="H38" s="151">
        <v>3</v>
      </c>
      <c r="I38" s="145"/>
      <c r="J38" s="163">
        <v>0.3</v>
      </c>
      <c r="K38" s="146"/>
      <c r="L38" s="146"/>
      <c r="M38" s="146"/>
      <c r="N38" s="146"/>
      <c r="O38" s="146"/>
      <c r="P38" s="146"/>
      <c r="Q38" s="152">
        <v>0.3029400110244751</v>
      </c>
      <c r="R38" s="266"/>
    </row>
    <row r="39" spans="1:18">
      <c r="A39" s="265"/>
      <c r="B39" s="188"/>
      <c r="C39" s="188"/>
      <c r="D39" s="190"/>
      <c r="E39" s="162" t="s">
        <v>384</v>
      </c>
      <c r="F39" s="166" t="s">
        <v>289</v>
      </c>
      <c r="G39" s="166" t="s">
        <v>254</v>
      </c>
      <c r="H39" s="151">
        <v>4</v>
      </c>
      <c r="I39" s="145"/>
      <c r="J39" s="163">
        <v>0.3</v>
      </c>
      <c r="K39" s="146"/>
      <c r="L39" s="146"/>
      <c r="M39" s="146"/>
      <c r="N39" s="146"/>
      <c r="O39" s="146"/>
      <c r="P39" s="146"/>
      <c r="Q39" s="152">
        <v>0.40392002463340759</v>
      </c>
      <c r="R39" s="266"/>
    </row>
    <row r="40" spans="1:18">
      <c r="A40" s="265"/>
      <c r="B40" s="188"/>
      <c r="C40" s="188"/>
      <c r="D40" s="190"/>
      <c r="E40" s="162" t="s">
        <v>385</v>
      </c>
      <c r="F40" s="163" t="s">
        <v>164</v>
      </c>
      <c r="G40" s="163" t="s">
        <v>248</v>
      </c>
      <c r="H40" s="151">
        <v>4</v>
      </c>
      <c r="I40" s="145"/>
      <c r="J40" s="163">
        <v>0.3</v>
      </c>
      <c r="K40" s="146"/>
      <c r="L40" s="146"/>
      <c r="M40" s="146"/>
      <c r="N40" s="146"/>
      <c r="O40" s="146"/>
      <c r="P40" s="146"/>
      <c r="Q40" s="152">
        <v>0.40392002463340759</v>
      </c>
      <c r="R40" s="266"/>
    </row>
    <row r="41" spans="1:18">
      <c r="A41" s="265"/>
      <c r="B41" s="188"/>
      <c r="C41" s="188"/>
      <c r="D41" s="190"/>
      <c r="E41" s="162" t="s">
        <v>386</v>
      </c>
      <c r="F41" s="166" t="s">
        <v>164</v>
      </c>
      <c r="G41" s="166" t="s">
        <v>254</v>
      </c>
      <c r="H41" s="151">
        <v>3</v>
      </c>
      <c r="I41" s="145"/>
      <c r="J41" s="163">
        <v>0.3</v>
      </c>
      <c r="K41" s="146"/>
      <c r="L41" s="146"/>
      <c r="M41" s="146"/>
      <c r="N41" s="146"/>
      <c r="O41" s="146"/>
      <c r="P41" s="146"/>
      <c r="Q41" s="152">
        <v>0.3029400110244751</v>
      </c>
      <c r="R41" s="266"/>
    </row>
    <row r="42" spans="1:18">
      <c r="A42" s="265"/>
      <c r="B42" s="188"/>
      <c r="C42" s="188"/>
      <c r="D42" s="190"/>
      <c r="E42" s="167" t="s">
        <v>387</v>
      </c>
      <c r="F42" s="166" t="s">
        <v>164</v>
      </c>
      <c r="G42" s="166" t="s">
        <v>254</v>
      </c>
      <c r="H42" s="156">
        <v>3</v>
      </c>
      <c r="I42" s="145"/>
      <c r="J42" s="163">
        <v>0.3</v>
      </c>
      <c r="K42" s="146"/>
      <c r="L42" s="146"/>
      <c r="M42" s="146"/>
      <c r="N42" s="146"/>
      <c r="O42" s="146"/>
      <c r="P42" s="146"/>
      <c r="Q42" s="152">
        <v>0.3029400110244751</v>
      </c>
      <c r="R42" s="266"/>
    </row>
    <row r="43" spans="1:18">
      <c r="A43" s="265"/>
      <c r="B43" s="188"/>
      <c r="C43" s="188"/>
      <c r="D43" s="190"/>
      <c r="E43" s="162" t="s">
        <v>388</v>
      </c>
      <c r="F43" s="166" t="s">
        <v>164</v>
      </c>
      <c r="G43" s="166" t="s">
        <v>254</v>
      </c>
      <c r="H43" s="156">
        <v>3</v>
      </c>
      <c r="I43" s="145"/>
      <c r="J43" s="163">
        <v>0.3</v>
      </c>
      <c r="K43" s="146"/>
      <c r="L43" s="146"/>
      <c r="M43" s="146"/>
      <c r="N43" s="146"/>
      <c r="O43" s="146"/>
      <c r="P43" s="146"/>
      <c r="Q43" s="152">
        <v>0.3029400110244751</v>
      </c>
      <c r="R43" s="169"/>
    </row>
    <row r="44" spans="1:18">
      <c r="A44" s="265"/>
      <c r="B44" s="188"/>
      <c r="C44" s="188"/>
      <c r="D44" s="190"/>
      <c r="E44" s="167" t="s">
        <v>389</v>
      </c>
      <c r="F44" s="166" t="s">
        <v>164</v>
      </c>
      <c r="G44" s="166" t="s">
        <v>248</v>
      </c>
      <c r="H44" s="156">
        <v>4</v>
      </c>
      <c r="I44" s="145"/>
      <c r="J44" s="163">
        <v>0.3</v>
      </c>
      <c r="K44" s="146"/>
      <c r="L44" s="146"/>
      <c r="M44" s="146"/>
      <c r="N44" s="146"/>
      <c r="O44" s="146"/>
      <c r="P44" s="146"/>
      <c r="Q44" s="152">
        <v>0.40392002463340759</v>
      </c>
      <c r="R44" s="267"/>
    </row>
    <row r="45" spans="1:18">
      <c r="A45" s="265"/>
      <c r="B45" s="177" t="s">
        <v>405</v>
      </c>
      <c r="C45" s="177" t="s">
        <v>406</v>
      </c>
      <c r="D45" s="178"/>
      <c r="E45" s="162" t="s">
        <v>402</v>
      </c>
      <c r="F45" s="163" t="s">
        <v>167</v>
      </c>
      <c r="G45" s="163" t="s">
        <v>254</v>
      </c>
      <c r="H45" s="151">
        <v>3</v>
      </c>
      <c r="I45" s="145"/>
      <c r="J45" s="163">
        <v>0.7</v>
      </c>
      <c r="K45" s="146"/>
      <c r="L45" s="146"/>
      <c r="M45" s="146"/>
      <c r="N45" s="146"/>
      <c r="O45" s="146"/>
      <c r="P45" s="146"/>
      <c r="Q45" s="152">
        <v>0.7068600058555603</v>
      </c>
      <c r="R45" s="266"/>
    </row>
    <row r="46" spans="1:18">
      <c r="A46" s="265"/>
      <c r="B46" s="177"/>
      <c r="C46" s="177"/>
      <c r="D46" s="178"/>
      <c r="E46" s="162" t="s">
        <v>403</v>
      </c>
      <c r="F46" s="163" t="s">
        <v>167</v>
      </c>
      <c r="G46" s="163" t="s">
        <v>254</v>
      </c>
      <c r="H46" s="151">
        <v>3</v>
      </c>
      <c r="I46" s="145"/>
      <c r="J46" s="163">
        <v>0.7</v>
      </c>
      <c r="K46" s="146"/>
      <c r="L46" s="146"/>
      <c r="M46" s="146"/>
      <c r="N46" s="146"/>
      <c r="O46" s="146"/>
      <c r="P46" s="146"/>
      <c r="Q46" s="152">
        <v>0.7068600058555603</v>
      </c>
      <c r="R46" s="266"/>
    </row>
    <row r="47" spans="1:18">
      <c r="A47" s="265"/>
      <c r="B47" s="177"/>
      <c r="C47" s="177"/>
      <c r="D47" s="178"/>
      <c r="E47" s="162" t="s">
        <v>407</v>
      </c>
      <c r="F47" s="163" t="s">
        <v>164</v>
      </c>
      <c r="G47" s="163" t="s">
        <v>254</v>
      </c>
      <c r="H47" s="151">
        <v>3</v>
      </c>
      <c r="I47" s="145"/>
      <c r="J47" s="163">
        <v>0.7</v>
      </c>
      <c r="K47" s="146"/>
      <c r="L47" s="146"/>
      <c r="M47" s="146"/>
      <c r="N47" s="146"/>
      <c r="O47" s="146"/>
      <c r="P47" s="146"/>
      <c r="Q47" s="152">
        <v>0.7068600058555603</v>
      </c>
      <c r="R47" s="266"/>
    </row>
    <row r="48" spans="1:18">
      <c r="A48" s="265"/>
      <c r="B48" s="177"/>
      <c r="C48" s="177"/>
      <c r="D48" s="178"/>
      <c r="E48" s="164" t="s">
        <v>395</v>
      </c>
      <c r="F48" s="163" t="s">
        <v>164</v>
      </c>
      <c r="G48" s="163" t="s">
        <v>248</v>
      </c>
      <c r="H48" s="151">
        <v>4</v>
      </c>
      <c r="I48" s="145"/>
      <c r="J48" s="163">
        <v>0.3</v>
      </c>
      <c r="K48" s="146"/>
      <c r="L48" s="146"/>
      <c r="M48" s="146"/>
      <c r="N48" s="146"/>
      <c r="O48" s="146"/>
      <c r="P48" s="146"/>
      <c r="Q48" s="152">
        <v>0.40392002463340759</v>
      </c>
      <c r="R48" s="266"/>
    </row>
    <row r="49" spans="1:18">
      <c r="A49" s="265"/>
      <c r="B49" s="177"/>
      <c r="C49" s="177"/>
      <c r="D49" s="178"/>
      <c r="E49" s="164" t="s">
        <v>396</v>
      </c>
      <c r="F49" s="163" t="s">
        <v>164</v>
      </c>
      <c r="G49" s="163" t="s">
        <v>248</v>
      </c>
      <c r="H49" s="151">
        <v>4</v>
      </c>
      <c r="I49" s="145"/>
      <c r="J49" s="163">
        <v>0.3</v>
      </c>
      <c r="K49" s="146"/>
      <c r="L49" s="146"/>
      <c r="M49" s="146"/>
      <c r="N49" s="146"/>
      <c r="O49" s="146"/>
      <c r="P49" s="146"/>
      <c r="Q49" s="152">
        <v>0.40392002463340759</v>
      </c>
      <c r="R49" s="266"/>
    </row>
    <row r="50" spans="1:18">
      <c r="A50" s="265"/>
      <c r="B50" s="177"/>
      <c r="C50" s="177"/>
      <c r="D50" s="178"/>
      <c r="E50" s="164" t="s">
        <v>397</v>
      </c>
      <c r="F50" s="163" t="s">
        <v>164</v>
      </c>
      <c r="G50" s="163" t="s">
        <v>248</v>
      </c>
      <c r="H50" s="151">
        <v>4</v>
      </c>
      <c r="I50" s="145"/>
      <c r="J50" s="163">
        <v>0.3</v>
      </c>
      <c r="K50" s="146"/>
      <c r="L50" s="146"/>
      <c r="M50" s="146"/>
      <c r="N50" s="146"/>
      <c r="O50" s="146"/>
      <c r="P50" s="146"/>
      <c r="Q50" s="152">
        <v>0.40392002463340759</v>
      </c>
      <c r="R50" s="266"/>
    </row>
    <row r="51" spans="1:18">
      <c r="A51" s="265"/>
      <c r="B51" s="177"/>
      <c r="C51" s="177"/>
      <c r="D51" s="178"/>
      <c r="E51" s="164" t="s">
        <v>398</v>
      </c>
      <c r="F51" s="163" t="s">
        <v>164</v>
      </c>
      <c r="G51" s="163" t="s">
        <v>254</v>
      </c>
      <c r="H51" s="151">
        <v>3</v>
      </c>
      <c r="I51" s="145"/>
      <c r="J51" s="163">
        <v>0.3</v>
      </c>
      <c r="K51" s="146"/>
      <c r="L51" s="146"/>
      <c r="M51" s="146"/>
      <c r="N51" s="146"/>
      <c r="O51" s="146"/>
      <c r="P51" s="146"/>
      <c r="Q51" s="152">
        <v>0.3029400110244751</v>
      </c>
      <c r="R51" s="266"/>
    </row>
    <row r="52" spans="1:18">
      <c r="A52" s="265"/>
      <c r="B52" s="177"/>
      <c r="C52" s="177"/>
      <c r="D52" s="178"/>
      <c r="E52" s="162" t="s">
        <v>399</v>
      </c>
      <c r="F52" s="165" t="s">
        <v>164</v>
      </c>
      <c r="G52" s="165" t="s">
        <v>254</v>
      </c>
      <c r="H52" s="151">
        <v>3</v>
      </c>
      <c r="I52" s="145"/>
      <c r="J52" s="163">
        <v>0.3</v>
      </c>
      <c r="K52" s="146"/>
      <c r="L52" s="146"/>
      <c r="M52" s="146"/>
      <c r="N52" s="146"/>
      <c r="O52" s="146"/>
      <c r="P52" s="146"/>
      <c r="Q52" s="152">
        <v>0.3029400110244751</v>
      </c>
      <c r="R52" s="266"/>
    </row>
    <row r="53" spans="1:18">
      <c r="A53" s="265"/>
      <c r="B53" s="177"/>
      <c r="C53" s="177"/>
      <c r="D53" s="178"/>
      <c r="E53" s="162" t="s">
        <v>384</v>
      </c>
      <c r="F53" s="166" t="s">
        <v>289</v>
      </c>
      <c r="G53" s="166" t="s">
        <v>254</v>
      </c>
      <c r="H53" s="151">
        <v>4</v>
      </c>
      <c r="I53" s="145"/>
      <c r="J53" s="163">
        <v>0.3</v>
      </c>
      <c r="K53" s="146"/>
      <c r="L53" s="146"/>
      <c r="M53" s="146"/>
      <c r="N53" s="146"/>
      <c r="O53" s="146"/>
      <c r="P53" s="146"/>
      <c r="Q53" s="152">
        <v>0.40392002463340759</v>
      </c>
      <c r="R53" s="266"/>
    </row>
    <row r="54" spans="1:18">
      <c r="A54" s="265"/>
      <c r="B54" s="177"/>
      <c r="C54" s="177"/>
      <c r="D54" s="178"/>
      <c r="E54" s="162" t="s">
        <v>385</v>
      </c>
      <c r="F54" s="163" t="s">
        <v>164</v>
      </c>
      <c r="G54" s="163" t="s">
        <v>248</v>
      </c>
      <c r="H54" s="151">
        <v>4</v>
      </c>
      <c r="I54" s="145"/>
      <c r="J54" s="163">
        <v>0.3</v>
      </c>
      <c r="K54" s="146"/>
      <c r="L54" s="146"/>
      <c r="M54" s="146"/>
      <c r="N54" s="146"/>
      <c r="O54" s="146"/>
      <c r="P54" s="146"/>
      <c r="Q54" s="152">
        <v>0.40392002463340759</v>
      </c>
      <c r="R54" s="266"/>
    </row>
    <row r="55" spans="1:18">
      <c r="A55" s="265"/>
      <c r="B55" s="177"/>
      <c r="C55" s="177"/>
      <c r="D55" s="178"/>
      <c r="E55" s="162" t="s">
        <v>386</v>
      </c>
      <c r="F55" s="166" t="s">
        <v>164</v>
      </c>
      <c r="G55" s="166" t="s">
        <v>254</v>
      </c>
      <c r="H55" s="151">
        <v>3</v>
      </c>
      <c r="I55" s="145"/>
      <c r="J55" s="163">
        <v>0.3</v>
      </c>
      <c r="K55" s="146"/>
      <c r="L55" s="146"/>
      <c r="M55" s="146"/>
      <c r="N55" s="146"/>
      <c r="O55" s="146"/>
      <c r="P55" s="146"/>
      <c r="Q55" s="152">
        <v>0.3029400110244751</v>
      </c>
      <c r="R55" s="266"/>
    </row>
    <row r="56" spans="1:18">
      <c r="A56" s="265"/>
      <c r="B56" s="177"/>
      <c r="C56" s="177"/>
      <c r="D56" s="178"/>
      <c r="E56" s="167" t="s">
        <v>387</v>
      </c>
      <c r="F56" s="166" t="s">
        <v>164</v>
      </c>
      <c r="G56" s="166" t="s">
        <v>254</v>
      </c>
      <c r="H56" s="156">
        <v>3</v>
      </c>
      <c r="I56" s="145"/>
      <c r="J56" s="163">
        <v>0.3</v>
      </c>
      <c r="K56" s="146"/>
      <c r="L56" s="146"/>
      <c r="M56" s="146"/>
      <c r="N56" s="146"/>
      <c r="O56" s="146"/>
      <c r="P56" s="146"/>
      <c r="Q56" s="152">
        <v>0.3029400110244751</v>
      </c>
      <c r="R56" s="266"/>
    </row>
    <row r="57" spans="1:18">
      <c r="A57" s="265"/>
      <c r="B57" s="177"/>
      <c r="C57" s="177"/>
      <c r="D57" s="178"/>
      <c r="E57" s="162" t="s">
        <v>388</v>
      </c>
      <c r="F57" s="166" t="s">
        <v>164</v>
      </c>
      <c r="G57" s="166" t="s">
        <v>254</v>
      </c>
      <c r="H57" s="156">
        <v>3</v>
      </c>
      <c r="I57" s="145"/>
      <c r="J57" s="163">
        <v>0.3</v>
      </c>
      <c r="K57" s="146"/>
      <c r="L57" s="146"/>
      <c r="M57" s="146"/>
      <c r="N57" s="146"/>
      <c r="O57" s="146"/>
      <c r="P57" s="146"/>
      <c r="Q57" s="152">
        <v>0.3029400110244751</v>
      </c>
      <c r="R57" s="169"/>
    </row>
    <row r="58" spans="1:18">
      <c r="A58" s="265"/>
      <c r="B58" s="177"/>
      <c r="C58" s="177"/>
      <c r="D58" s="178"/>
      <c r="E58" s="167" t="s">
        <v>389</v>
      </c>
      <c r="F58" s="163" t="s">
        <v>164</v>
      </c>
      <c r="G58" s="163" t="s">
        <v>248</v>
      </c>
      <c r="H58" s="156">
        <v>4</v>
      </c>
      <c r="I58" s="145"/>
      <c r="J58" s="163">
        <v>0.3</v>
      </c>
      <c r="K58" s="146"/>
      <c r="L58" s="146"/>
      <c r="M58" s="146"/>
      <c r="N58" s="146"/>
      <c r="O58" s="146"/>
      <c r="P58" s="146"/>
      <c r="Q58" s="152">
        <v>0.40392002463340759</v>
      </c>
      <c r="R58" s="267"/>
    </row>
  </sheetData>
  <sheetProtection formatCells="0" formatColumns="0" formatRows="0" insertRows="0" deleteRows="0"/>
  <protectedRanges>
    <protectedRange sqref="B4:G58" name="story" securityDescriptor=""/>
    <protectedRange sqref="J4:J58" name="区域2" securityDescriptor=""/>
  </protectedRanges>
  <mergeCells count="25">
    <mergeCell ref="B45:B58"/>
    <mergeCell ref="C45:C58"/>
    <mergeCell ref="D45:D58"/>
    <mergeCell ref="R45:R56"/>
    <mergeCell ref="R4:R14"/>
    <mergeCell ref="B17:B30"/>
    <mergeCell ref="C17:C30"/>
    <mergeCell ref="D17:D30"/>
    <mergeCell ref="R17:R28"/>
    <mergeCell ref="B31:B44"/>
    <mergeCell ref="C31:C44"/>
    <mergeCell ref="D31:D44"/>
    <mergeCell ref="R31:R42"/>
    <mergeCell ref="I1:P1"/>
    <mergeCell ref="Q1:Q2"/>
    <mergeCell ref="A3:H3"/>
    <mergeCell ref="B4:B16"/>
    <mergeCell ref="C4:C16"/>
    <mergeCell ref="D4:D16"/>
    <mergeCell ref="A1:A2"/>
    <mergeCell ref="B1:B2"/>
    <mergeCell ref="C1:C2"/>
    <mergeCell ref="D1:D2"/>
    <mergeCell ref="E1:E2"/>
    <mergeCell ref="F1:H1"/>
  </mergeCells>
  <phoneticPr fontId="2" type="noConversion"/>
  <dataValidations count="4">
    <dataValidation type="list" allowBlank="1" showInputMessage="1" showErrorMessage="1" sqref="I4:P58">
      <formula1>"0.3,0.5,0.7,0.9,1"</formula1>
    </dataValidation>
    <dataValidation type="list" allowBlank="1" showInputMessage="1" showErrorMessage="1" sqref="F4:F58">
      <formula1>"ILF,ELF,EI,EO,EQ"</formula1>
    </dataValidation>
    <dataValidation type="list" allowBlank="1" showInputMessage="1" showErrorMessage="1" sqref="G4:G58">
      <formula1>"低,中,高"</formula1>
    </dataValidation>
    <dataValidation type="list" allowBlank="1" showInputMessage="1" showErrorMessage="1" sqref="H4:H58">
      <formula1>"35,15,10,7,6,5,4,3, "</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32769" r:id="rId4" name="FPACal">
          <controlPr defaultSize="0" autoLine="0" r:id="rId5">
            <anchor moveWithCells="1">
              <from>
                <xdr:col>18</xdr:col>
                <xdr:colOff>9525</xdr:colOff>
                <xdr:row>1</xdr:row>
                <xdr:rowOff>0</xdr:rowOff>
              </from>
              <to>
                <xdr:col>19</xdr:col>
                <xdr:colOff>142875</xdr:colOff>
                <xdr:row>2</xdr:row>
                <xdr:rowOff>142875</xdr:rowOff>
              </to>
            </anchor>
          </controlPr>
        </control>
      </mc:Choice>
      <mc:Fallback>
        <control shapeId="32769" r:id="rId4" name="FPACal"/>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67"/>
  <sheetViews>
    <sheetView zoomScale="115" zoomScaleNormal="115" workbookViewId="0">
      <pane xSplit="1" ySplit="3" topLeftCell="B25" activePane="bottomRight" state="frozen"/>
      <selection pane="topRight" activeCell="B1" sqref="B1"/>
      <selection pane="bottomLeft" activeCell="A4" sqref="A4"/>
      <selection pane="bottomRight" activeCell="K29" sqref="K29"/>
    </sheetView>
  </sheetViews>
  <sheetFormatPr defaultColWidth="9.125" defaultRowHeight="13.5"/>
  <cols>
    <col min="1" max="2" width="6.5" style="136" customWidth="1"/>
    <col min="3" max="3" width="15.625" style="136" customWidth="1"/>
    <col min="4" max="4" width="33.125" style="159" bestFit="1" customWidth="1"/>
    <col min="5" max="5" width="37.75" style="136" customWidth="1"/>
    <col min="6" max="6" width="4.875" style="160" customWidth="1"/>
    <col min="7" max="7" width="4.875" style="160" bestFit="1" customWidth="1"/>
    <col min="8" max="8" width="4.125" style="136" customWidth="1"/>
    <col min="9" max="9" width="4.875" style="136" bestFit="1" customWidth="1"/>
    <col min="10" max="10" width="8.125" style="136" customWidth="1"/>
    <col min="11" max="11" width="5.125" style="136" customWidth="1"/>
    <col min="12" max="12" width="8.125" style="136" customWidth="1"/>
    <col min="13" max="13" width="6.125" style="136" customWidth="1"/>
    <col min="14" max="14" width="7.125" style="136" bestFit="1" customWidth="1"/>
    <col min="15" max="15" width="5.125" style="136" bestFit="1" customWidth="1"/>
    <col min="16" max="16" width="7.125" style="160" bestFit="1" customWidth="1"/>
    <col min="17" max="17" width="8" style="147" customWidth="1"/>
    <col min="18" max="18" width="3.75" style="136" customWidth="1"/>
    <col min="19" max="19" width="7" style="136" customWidth="1"/>
    <col min="20" max="16384" width="9.125" style="136"/>
  </cols>
  <sheetData>
    <row r="1" spans="1:18" ht="14.25" thickBot="1">
      <c r="A1" s="191" t="s">
        <v>173</v>
      </c>
      <c r="B1" s="193" t="s">
        <v>171</v>
      </c>
      <c r="C1" s="195" t="s">
        <v>184</v>
      </c>
      <c r="D1" s="197" t="s">
        <v>183</v>
      </c>
      <c r="E1" s="199" t="s">
        <v>176</v>
      </c>
      <c r="F1" s="201" t="s">
        <v>302</v>
      </c>
      <c r="G1" s="202"/>
      <c r="H1" s="202"/>
      <c r="I1" s="180" t="s">
        <v>301</v>
      </c>
      <c r="J1" s="181"/>
      <c r="K1" s="181"/>
      <c r="L1" s="181"/>
      <c r="M1" s="181"/>
      <c r="N1" s="181"/>
      <c r="O1" s="181"/>
      <c r="P1" s="182"/>
      <c r="Q1" s="183" t="s">
        <v>303</v>
      </c>
    </row>
    <row r="2" spans="1:18" ht="26.25" thickBot="1">
      <c r="A2" s="192"/>
      <c r="B2" s="194"/>
      <c r="C2" s="196"/>
      <c r="D2" s="198"/>
      <c r="E2" s="200"/>
      <c r="F2" s="137" t="s">
        <v>0</v>
      </c>
      <c r="G2" s="138" t="s">
        <v>196</v>
      </c>
      <c r="H2" s="138" t="s">
        <v>174</v>
      </c>
      <c r="I2" s="139" t="s">
        <v>300</v>
      </c>
      <c r="J2" s="140" t="s">
        <v>237</v>
      </c>
      <c r="K2" s="140" t="s">
        <v>242</v>
      </c>
      <c r="L2" s="140" t="s">
        <v>243</v>
      </c>
      <c r="M2" s="140" t="s">
        <v>238</v>
      </c>
      <c r="N2" s="140" t="s">
        <v>188</v>
      </c>
      <c r="O2" s="140" t="s">
        <v>175</v>
      </c>
      <c r="P2" s="141" t="s">
        <v>169</v>
      </c>
      <c r="Q2" s="184"/>
    </row>
    <row r="3" spans="1:18" ht="15" thickBot="1">
      <c r="A3" s="185" t="s">
        <v>304</v>
      </c>
      <c r="B3" s="186"/>
      <c r="C3" s="186"/>
      <c r="D3" s="186"/>
      <c r="E3" s="186"/>
      <c r="F3" s="186"/>
      <c r="G3" s="186"/>
      <c r="H3" s="186"/>
      <c r="I3" s="142">
        <v>0</v>
      </c>
      <c r="J3" s="143">
        <f>SUMPRODUCT(J4:J29*FPA参数表!$R3,$H$4:$H$29)</f>
        <v>19.186199999999996</v>
      </c>
      <c r="K3" s="143">
        <f>SUMPRODUCT(K4:K29*FPA参数表!$R4,$H$4:$H$29)</f>
        <v>0</v>
      </c>
      <c r="L3" s="143">
        <f>SUMPRODUCT(L4:L29*FPA参数表!$R5,$H$4:$H$29)</f>
        <v>0</v>
      </c>
      <c r="M3" s="143">
        <f>SUMPRODUCT(M4:M29*FPA参数表!$R6,$H$4:$H$29)</f>
        <v>0</v>
      </c>
      <c r="N3" s="143">
        <f>SUMPRODUCT(N4:N29*FPA参数表!$R7,$H$4:$H$29)</f>
        <v>0</v>
      </c>
      <c r="O3" s="143">
        <f>SUMPRODUCT(O4:O29*FPA参数表!$R8,$H$4:$H$29)</f>
        <v>0</v>
      </c>
      <c r="P3" s="143">
        <f>SUMPRODUCT(P4:P29*FPA参数表!$R9,$H$4:$H$29)</f>
        <v>0</v>
      </c>
      <c r="Q3" s="144">
        <f>SUM(I3:P3)</f>
        <v>19.186199999999996</v>
      </c>
    </row>
    <row r="4" spans="1:18">
      <c r="A4" s="148"/>
      <c r="B4" s="187" t="s">
        <v>369</v>
      </c>
      <c r="C4" s="187" t="s">
        <v>347</v>
      </c>
      <c r="D4" s="189"/>
      <c r="E4" s="162" t="s">
        <v>348</v>
      </c>
      <c r="F4" s="163" t="s">
        <v>167</v>
      </c>
      <c r="G4" s="163" t="s">
        <v>254</v>
      </c>
      <c r="H4" s="151">
        <v>3</v>
      </c>
      <c r="I4" s="145"/>
      <c r="J4" s="163">
        <v>0.7</v>
      </c>
      <c r="K4" s="146"/>
      <c r="L4" s="146"/>
      <c r="M4" s="146"/>
      <c r="N4" s="146"/>
      <c r="O4" s="146"/>
      <c r="P4" s="146"/>
      <c r="Q4" s="152">
        <v>0.7068600058555603</v>
      </c>
      <c r="R4" s="179"/>
    </row>
    <row r="5" spans="1:18">
      <c r="A5" s="148"/>
      <c r="B5" s="188"/>
      <c r="C5" s="188"/>
      <c r="D5" s="190"/>
      <c r="E5" s="162" t="s">
        <v>308</v>
      </c>
      <c r="F5" s="163" t="s">
        <v>167</v>
      </c>
      <c r="G5" s="163" t="s">
        <v>254</v>
      </c>
      <c r="H5" s="151">
        <v>3</v>
      </c>
      <c r="I5" s="145"/>
      <c r="J5" s="163">
        <v>0.7</v>
      </c>
      <c r="K5" s="146"/>
      <c r="L5" s="146"/>
      <c r="M5" s="146"/>
      <c r="N5" s="146"/>
      <c r="O5" s="146"/>
      <c r="P5" s="146"/>
      <c r="Q5" s="152">
        <v>0.7068600058555603</v>
      </c>
      <c r="R5" s="179"/>
    </row>
    <row r="6" spans="1:18">
      <c r="A6" s="148"/>
      <c r="B6" s="188"/>
      <c r="C6" s="188"/>
      <c r="D6" s="190"/>
      <c r="E6" s="162" t="s">
        <v>349</v>
      </c>
      <c r="F6" s="163" t="s">
        <v>164</v>
      </c>
      <c r="G6" s="163" t="s">
        <v>254</v>
      </c>
      <c r="H6" s="151">
        <v>3</v>
      </c>
      <c r="I6" s="145"/>
      <c r="J6" s="163">
        <v>0.7</v>
      </c>
      <c r="K6" s="146"/>
      <c r="L6" s="146"/>
      <c r="M6" s="146"/>
      <c r="N6" s="146"/>
      <c r="O6" s="146"/>
      <c r="P6" s="146"/>
      <c r="Q6" s="152">
        <v>0.7068600058555603</v>
      </c>
      <c r="R6" s="179"/>
    </row>
    <row r="7" spans="1:18">
      <c r="A7" s="148"/>
      <c r="B7" s="188"/>
      <c r="C7" s="188"/>
      <c r="D7" s="190"/>
      <c r="E7" s="164" t="s">
        <v>313</v>
      </c>
      <c r="F7" s="163" t="s">
        <v>164</v>
      </c>
      <c r="G7" s="163" t="s">
        <v>248</v>
      </c>
      <c r="H7" s="151">
        <v>4</v>
      </c>
      <c r="I7" s="145"/>
      <c r="J7" s="163">
        <v>0.3</v>
      </c>
      <c r="K7" s="146"/>
      <c r="L7" s="146"/>
      <c r="M7" s="146"/>
      <c r="N7" s="146"/>
      <c r="O7" s="146"/>
      <c r="P7" s="146"/>
      <c r="Q7" s="152">
        <v>0.40392002463340759</v>
      </c>
      <c r="R7" s="179"/>
    </row>
    <row r="8" spans="1:18">
      <c r="A8" s="148"/>
      <c r="B8" s="188"/>
      <c r="C8" s="188"/>
      <c r="D8" s="190"/>
      <c r="E8" s="164" t="s">
        <v>314</v>
      </c>
      <c r="F8" s="163" t="s">
        <v>164</v>
      </c>
      <c r="G8" s="163" t="s">
        <v>248</v>
      </c>
      <c r="H8" s="151">
        <v>4</v>
      </c>
      <c r="I8" s="145"/>
      <c r="J8" s="163">
        <v>0.3</v>
      </c>
      <c r="K8" s="146"/>
      <c r="L8" s="146"/>
      <c r="M8" s="146"/>
      <c r="N8" s="146"/>
      <c r="O8" s="146"/>
      <c r="P8" s="146"/>
      <c r="Q8" s="152">
        <v>0.40392002463340759</v>
      </c>
      <c r="R8" s="179"/>
    </row>
    <row r="9" spans="1:18">
      <c r="A9" s="148"/>
      <c r="B9" s="188"/>
      <c r="C9" s="188"/>
      <c r="D9" s="190"/>
      <c r="E9" s="164" t="s">
        <v>315</v>
      </c>
      <c r="F9" s="163" t="s">
        <v>164</v>
      </c>
      <c r="G9" s="163" t="s">
        <v>248</v>
      </c>
      <c r="H9" s="151">
        <v>4</v>
      </c>
      <c r="I9" s="145"/>
      <c r="J9" s="163">
        <v>0.3</v>
      </c>
      <c r="K9" s="146"/>
      <c r="L9" s="146"/>
      <c r="M9" s="146"/>
      <c r="N9" s="146"/>
      <c r="O9" s="146"/>
      <c r="P9" s="146"/>
      <c r="Q9" s="152">
        <v>0.40392002463340759</v>
      </c>
      <c r="R9" s="179"/>
    </row>
    <row r="10" spans="1:18">
      <c r="A10" s="148"/>
      <c r="B10" s="188"/>
      <c r="C10" s="188"/>
      <c r="D10" s="190"/>
      <c r="E10" s="164" t="s">
        <v>316</v>
      </c>
      <c r="F10" s="163" t="s">
        <v>164</v>
      </c>
      <c r="G10" s="163" t="s">
        <v>254</v>
      </c>
      <c r="H10" s="151">
        <v>3</v>
      </c>
      <c r="I10" s="145"/>
      <c r="J10" s="163">
        <v>0.3</v>
      </c>
      <c r="K10" s="146"/>
      <c r="L10" s="146"/>
      <c r="M10" s="146"/>
      <c r="N10" s="146"/>
      <c r="O10" s="146"/>
      <c r="P10" s="146"/>
      <c r="Q10" s="152">
        <v>0.3029400110244751</v>
      </c>
      <c r="R10" s="179"/>
    </row>
    <row r="11" spans="1:18">
      <c r="A11" s="148"/>
      <c r="B11" s="188"/>
      <c r="C11" s="188"/>
      <c r="D11" s="190"/>
      <c r="E11" s="162" t="s">
        <v>317</v>
      </c>
      <c r="F11" s="165" t="s">
        <v>164</v>
      </c>
      <c r="G11" s="165" t="s">
        <v>254</v>
      </c>
      <c r="H11" s="151">
        <v>3</v>
      </c>
      <c r="I11" s="145"/>
      <c r="J11" s="163">
        <v>0.3</v>
      </c>
      <c r="K11" s="146"/>
      <c r="L11" s="146"/>
      <c r="M11" s="146"/>
      <c r="N11" s="146"/>
      <c r="O11" s="146"/>
      <c r="P11" s="146"/>
      <c r="Q11" s="152">
        <v>0.3029400110244751</v>
      </c>
      <c r="R11" s="179"/>
    </row>
    <row r="12" spans="1:18">
      <c r="A12" s="148"/>
      <c r="B12" s="188"/>
      <c r="C12" s="188"/>
      <c r="D12" s="190"/>
      <c r="E12" s="162" t="s">
        <v>318</v>
      </c>
      <c r="F12" s="166" t="s">
        <v>289</v>
      </c>
      <c r="G12" s="166" t="s">
        <v>254</v>
      </c>
      <c r="H12" s="151">
        <v>4</v>
      </c>
      <c r="I12" s="145"/>
      <c r="J12" s="163">
        <v>0.3</v>
      </c>
      <c r="K12" s="146"/>
      <c r="L12" s="146"/>
      <c r="M12" s="146"/>
      <c r="N12" s="146"/>
      <c r="O12" s="146"/>
      <c r="P12" s="146"/>
      <c r="Q12" s="152">
        <v>0.40392002463340759</v>
      </c>
      <c r="R12" s="179"/>
    </row>
    <row r="13" spans="1:18">
      <c r="A13" s="148"/>
      <c r="B13" s="188"/>
      <c r="C13" s="188"/>
      <c r="D13" s="190"/>
      <c r="E13" s="162" t="s">
        <v>319</v>
      </c>
      <c r="F13" s="163" t="s">
        <v>164</v>
      </c>
      <c r="G13" s="163" t="s">
        <v>248</v>
      </c>
      <c r="H13" s="151">
        <v>4</v>
      </c>
      <c r="I13" s="145"/>
      <c r="J13" s="163">
        <v>0.3</v>
      </c>
      <c r="K13" s="146"/>
      <c r="L13" s="146"/>
      <c r="M13" s="146"/>
      <c r="N13" s="146"/>
      <c r="O13" s="146"/>
      <c r="P13" s="146"/>
      <c r="Q13" s="152">
        <v>0.40392002463340759</v>
      </c>
      <c r="R13" s="179"/>
    </row>
    <row r="14" spans="1:18">
      <c r="A14" s="148"/>
      <c r="B14" s="188"/>
      <c r="C14" s="188"/>
      <c r="D14" s="190"/>
      <c r="E14" s="162" t="s">
        <v>320</v>
      </c>
      <c r="F14" s="166" t="s">
        <v>164</v>
      </c>
      <c r="G14" s="166" t="s">
        <v>254</v>
      </c>
      <c r="H14" s="151">
        <v>3</v>
      </c>
      <c r="I14" s="145"/>
      <c r="J14" s="163">
        <v>0.3</v>
      </c>
      <c r="K14" s="146"/>
      <c r="L14" s="146"/>
      <c r="M14" s="146"/>
      <c r="N14" s="146"/>
      <c r="O14" s="146"/>
      <c r="P14" s="146"/>
      <c r="Q14" s="152">
        <v>0.3029400110244751</v>
      </c>
      <c r="R14" s="179"/>
    </row>
    <row r="15" spans="1:18">
      <c r="A15" s="148"/>
      <c r="B15" s="188"/>
      <c r="C15" s="188"/>
      <c r="D15" s="190"/>
      <c r="E15" s="167" t="s">
        <v>321</v>
      </c>
      <c r="F15" s="166" t="s">
        <v>164</v>
      </c>
      <c r="G15" s="166" t="s">
        <v>254</v>
      </c>
      <c r="H15" s="156">
        <v>3</v>
      </c>
      <c r="I15" s="145"/>
      <c r="J15" s="163">
        <v>0.3</v>
      </c>
      <c r="K15" s="146"/>
      <c r="L15" s="146"/>
      <c r="M15" s="146"/>
      <c r="N15" s="146"/>
      <c r="O15" s="146"/>
      <c r="P15" s="146"/>
      <c r="Q15" s="152">
        <v>0.3029400110244751</v>
      </c>
      <c r="R15" s="179"/>
    </row>
    <row r="16" spans="1:18">
      <c r="A16" s="148"/>
      <c r="B16" s="188"/>
      <c r="C16" s="188"/>
      <c r="D16" s="190"/>
      <c r="E16" s="162" t="s">
        <v>322</v>
      </c>
      <c r="F16" s="166" t="s">
        <v>164</v>
      </c>
      <c r="G16" s="166" t="s">
        <v>254</v>
      </c>
      <c r="H16" s="156">
        <v>3</v>
      </c>
      <c r="I16" s="145"/>
      <c r="J16" s="163">
        <v>0.3</v>
      </c>
      <c r="K16" s="146"/>
      <c r="L16" s="146"/>
      <c r="M16" s="146"/>
      <c r="N16" s="146"/>
      <c r="O16" s="146"/>
      <c r="P16" s="146"/>
      <c r="Q16" s="152">
        <v>0.3029400110244751</v>
      </c>
      <c r="R16" s="153"/>
    </row>
    <row r="17" spans="1:18">
      <c r="A17" s="148"/>
      <c r="B17" s="188"/>
      <c r="C17" s="188"/>
      <c r="D17" s="190"/>
      <c r="E17" s="167" t="s">
        <v>323</v>
      </c>
      <c r="F17" s="166" t="s">
        <v>164</v>
      </c>
      <c r="G17" s="166" t="s">
        <v>248</v>
      </c>
      <c r="H17" s="156">
        <v>4</v>
      </c>
      <c r="I17" s="145"/>
      <c r="J17" s="163">
        <v>0.3</v>
      </c>
      <c r="K17" s="146"/>
      <c r="L17" s="146"/>
      <c r="M17" s="146"/>
      <c r="N17" s="146"/>
      <c r="O17" s="146"/>
      <c r="P17" s="146"/>
      <c r="Q17" s="152">
        <v>0.40392002463340759</v>
      </c>
      <c r="R17" s="161"/>
    </row>
    <row r="18" spans="1:18" s="170" customFormat="1" ht="63.75">
      <c r="A18" s="168"/>
      <c r="B18" s="177" t="s">
        <v>350</v>
      </c>
      <c r="C18" s="177" t="s">
        <v>351</v>
      </c>
      <c r="D18" s="178" t="s">
        <v>352</v>
      </c>
      <c r="E18" s="162" t="s">
        <v>362</v>
      </c>
      <c r="F18" s="163" t="s">
        <v>164</v>
      </c>
      <c r="G18" s="163" t="s">
        <v>254</v>
      </c>
      <c r="H18" s="151">
        <v>3</v>
      </c>
      <c r="I18" s="145"/>
      <c r="J18" s="146">
        <v>1</v>
      </c>
      <c r="K18" s="146"/>
      <c r="L18" s="146"/>
      <c r="M18" s="146"/>
      <c r="N18" s="146"/>
      <c r="O18" s="146"/>
      <c r="P18" s="146"/>
      <c r="Q18" s="152">
        <v>1.0097999572753906</v>
      </c>
      <c r="R18" s="169"/>
    </row>
    <row r="19" spans="1:18" s="170" customFormat="1" ht="38.25">
      <c r="A19" s="168"/>
      <c r="B19" s="177"/>
      <c r="C19" s="177"/>
      <c r="D19" s="178"/>
      <c r="E19" s="162" t="s">
        <v>363</v>
      </c>
      <c r="F19" s="163" t="s">
        <v>164</v>
      </c>
      <c r="G19" s="163" t="s">
        <v>254</v>
      </c>
      <c r="H19" s="151">
        <v>3</v>
      </c>
      <c r="I19" s="145"/>
      <c r="J19" s="146">
        <v>1</v>
      </c>
      <c r="K19" s="146"/>
      <c r="L19" s="146"/>
      <c r="M19" s="146"/>
      <c r="N19" s="146"/>
      <c r="O19" s="146"/>
      <c r="P19" s="146"/>
      <c r="Q19" s="152">
        <v>1.0097999572753906</v>
      </c>
      <c r="R19" s="169"/>
    </row>
    <row r="20" spans="1:18" s="170" customFormat="1" ht="38.25">
      <c r="A20" s="168"/>
      <c r="B20" s="177"/>
      <c r="C20" s="177"/>
      <c r="D20" s="178"/>
      <c r="E20" s="162" t="s">
        <v>364</v>
      </c>
      <c r="F20" s="163" t="s">
        <v>164</v>
      </c>
      <c r="G20" s="163" t="s">
        <v>254</v>
      </c>
      <c r="H20" s="151">
        <v>3</v>
      </c>
      <c r="I20" s="145"/>
      <c r="J20" s="146">
        <v>1</v>
      </c>
      <c r="K20" s="146"/>
      <c r="L20" s="146"/>
      <c r="M20" s="146"/>
      <c r="N20" s="146"/>
      <c r="O20" s="146"/>
      <c r="P20" s="146"/>
      <c r="Q20" s="152">
        <v>1.0097999572753906</v>
      </c>
      <c r="R20" s="169"/>
    </row>
    <row r="21" spans="1:18" s="170" customFormat="1">
      <c r="A21" s="168"/>
      <c r="B21" s="172" t="s">
        <v>353</v>
      </c>
      <c r="C21" s="171" t="s">
        <v>354</v>
      </c>
      <c r="D21" s="171" t="s">
        <v>355</v>
      </c>
      <c r="E21" s="154" t="s">
        <v>368</v>
      </c>
      <c r="F21" s="151" t="s">
        <v>164</v>
      </c>
      <c r="G21" s="151" t="s">
        <v>254</v>
      </c>
      <c r="H21" s="151">
        <v>3</v>
      </c>
      <c r="I21" s="145"/>
      <c r="J21" s="146">
        <v>1</v>
      </c>
      <c r="K21" s="146"/>
      <c r="L21" s="146"/>
      <c r="M21" s="146"/>
      <c r="N21" s="146"/>
      <c r="O21" s="146"/>
      <c r="P21" s="146"/>
      <c r="Q21" s="152">
        <v>1.0097999572753906</v>
      </c>
    </row>
    <row r="22" spans="1:18" s="170" customFormat="1">
      <c r="A22" s="168"/>
      <c r="B22" s="172"/>
      <c r="C22" s="172"/>
      <c r="D22" s="172"/>
      <c r="E22" s="154" t="s">
        <v>356</v>
      </c>
      <c r="F22" s="151" t="s">
        <v>164</v>
      </c>
      <c r="G22" s="151" t="s">
        <v>248</v>
      </c>
      <c r="H22" s="151">
        <v>4</v>
      </c>
      <c r="I22" s="145"/>
      <c r="J22" s="146">
        <v>1</v>
      </c>
      <c r="K22" s="146"/>
      <c r="L22" s="146"/>
      <c r="M22" s="146"/>
      <c r="N22" s="146"/>
      <c r="O22" s="146"/>
      <c r="P22" s="146"/>
      <c r="Q22" s="152">
        <v>1.3464000225067139</v>
      </c>
    </row>
    <row r="23" spans="1:18" s="170" customFormat="1">
      <c r="A23" s="168"/>
      <c r="B23" s="172"/>
      <c r="C23" s="172"/>
      <c r="D23" s="172"/>
      <c r="E23" s="154" t="s">
        <v>357</v>
      </c>
      <c r="F23" s="151" t="s">
        <v>164</v>
      </c>
      <c r="G23" s="151" t="s">
        <v>254</v>
      </c>
      <c r="H23" s="151">
        <v>3</v>
      </c>
      <c r="I23" s="145"/>
      <c r="J23" s="146">
        <v>1</v>
      </c>
      <c r="K23" s="146"/>
      <c r="L23" s="146"/>
      <c r="M23" s="146"/>
      <c r="N23" s="146"/>
      <c r="O23" s="146"/>
      <c r="P23" s="146"/>
      <c r="Q23" s="152">
        <v>1.0097999572753906</v>
      </c>
    </row>
    <row r="24" spans="1:18" s="170" customFormat="1">
      <c r="A24" s="168"/>
      <c r="B24" s="172"/>
      <c r="C24" s="172"/>
      <c r="D24" s="172"/>
      <c r="E24" s="154" t="s">
        <v>358</v>
      </c>
      <c r="F24" s="151" t="s">
        <v>164</v>
      </c>
      <c r="G24" s="151" t="s">
        <v>248</v>
      </c>
      <c r="H24" s="151">
        <v>4</v>
      </c>
      <c r="I24" s="145"/>
      <c r="J24" s="146">
        <v>1</v>
      </c>
      <c r="K24" s="146"/>
      <c r="L24" s="146"/>
      <c r="M24" s="146"/>
      <c r="N24" s="146"/>
      <c r="O24" s="146"/>
      <c r="P24" s="146"/>
      <c r="Q24" s="152">
        <v>1.3464000225067139</v>
      </c>
    </row>
    <row r="25" spans="1:18" s="170" customFormat="1">
      <c r="A25" s="168"/>
      <c r="B25" s="172"/>
      <c r="C25" s="172"/>
      <c r="D25" s="172"/>
      <c r="E25" s="154" t="s">
        <v>359</v>
      </c>
      <c r="F25" s="151" t="s">
        <v>164</v>
      </c>
      <c r="G25" s="151" t="s">
        <v>254</v>
      </c>
      <c r="H25" s="151">
        <v>3</v>
      </c>
      <c r="I25" s="145"/>
      <c r="J25" s="146">
        <v>1</v>
      </c>
      <c r="K25" s="146"/>
      <c r="L25" s="146"/>
      <c r="M25" s="146"/>
      <c r="N25" s="146"/>
      <c r="O25" s="146"/>
      <c r="P25" s="146"/>
      <c r="Q25" s="152">
        <v>1.0097999572753906</v>
      </c>
    </row>
    <row r="26" spans="1:18" s="170" customFormat="1">
      <c r="A26" s="168"/>
      <c r="B26" s="172"/>
      <c r="C26" s="172"/>
      <c r="D26" s="172"/>
      <c r="E26" s="154" t="s">
        <v>360</v>
      </c>
      <c r="F26" s="151" t="s">
        <v>164</v>
      </c>
      <c r="G26" s="151" t="s">
        <v>254</v>
      </c>
      <c r="H26" s="151">
        <v>3</v>
      </c>
      <c r="I26" s="145"/>
      <c r="J26" s="146">
        <v>1</v>
      </c>
      <c r="K26" s="146"/>
      <c r="L26" s="146"/>
      <c r="M26" s="146"/>
      <c r="N26" s="146"/>
      <c r="O26" s="146"/>
      <c r="P26" s="146"/>
      <c r="Q26" s="152">
        <v>1.0097999572753906</v>
      </c>
    </row>
    <row r="27" spans="1:18" s="170" customFormat="1">
      <c r="A27" s="168"/>
      <c r="B27" s="172"/>
      <c r="C27" s="172"/>
      <c r="D27" s="172"/>
      <c r="E27" s="154" t="s">
        <v>361</v>
      </c>
      <c r="F27" s="151" t="s">
        <v>164</v>
      </c>
      <c r="G27" s="151" t="s">
        <v>248</v>
      </c>
      <c r="H27" s="151">
        <v>4</v>
      </c>
      <c r="I27" s="145"/>
      <c r="J27" s="146">
        <v>1</v>
      </c>
      <c r="K27" s="146"/>
      <c r="L27" s="146"/>
      <c r="M27" s="146"/>
      <c r="N27" s="146"/>
      <c r="O27" s="146"/>
      <c r="P27" s="146"/>
      <c r="Q27" s="152">
        <v>1.3464000225067139</v>
      </c>
    </row>
    <row r="28" spans="1:18" s="170" customFormat="1" ht="38.25">
      <c r="A28" s="168"/>
      <c r="B28" s="172"/>
      <c r="C28" s="172"/>
      <c r="D28" s="172"/>
      <c r="E28" s="154" t="s">
        <v>365</v>
      </c>
      <c r="F28" s="151" t="s">
        <v>164</v>
      </c>
      <c r="G28" s="151" t="s">
        <v>254</v>
      </c>
      <c r="H28" s="151">
        <v>3</v>
      </c>
      <c r="I28" s="145"/>
      <c r="J28" s="146">
        <v>1</v>
      </c>
      <c r="K28" s="146"/>
      <c r="L28" s="146"/>
      <c r="M28" s="146"/>
      <c r="N28" s="146"/>
      <c r="O28" s="146"/>
      <c r="P28" s="146"/>
      <c r="Q28" s="152">
        <v>1.0097999572753906</v>
      </c>
    </row>
    <row r="29" spans="1:18" s="170" customFormat="1" ht="51">
      <c r="A29" s="168"/>
      <c r="B29" s="172"/>
      <c r="C29" s="172"/>
      <c r="D29" s="172"/>
      <c r="E29" s="150" t="s">
        <v>366</v>
      </c>
      <c r="F29" s="151" t="s">
        <v>164</v>
      </c>
      <c r="G29" s="151" t="s">
        <v>254</v>
      </c>
      <c r="H29" s="151">
        <v>3</v>
      </c>
      <c r="I29" s="145"/>
      <c r="J29" s="146">
        <v>1</v>
      </c>
      <c r="K29" s="146"/>
      <c r="L29" s="146"/>
      <c r="M29" s="146"/>
      <c r="N29" s="146"/>
      <c r="O29" s="146"/>
      <c r="P29" s="146"/>
      <c r="Q29" s="152">
        <v>1.0097999572753906</v>
      </c>
    </row>
    <row r="30" spans="1:18" s="170" customFormat="1" ht="51">
      <c r="A30" s="168"/>
      <c r="B30" s="173"/>
      <c r="C30" s="173"/>
      <c r="D30" s="173"/>
      <c r="E30" s="150" t="s">
        <v>367</v>
      </c>
      <c r="F30" s="151" t="s">
        <v>164</v>
      </c>
      <c r="G30" s="151" t="s">
        <v>254</v>
      </c>
      <c r="H30" s="151">
        <v>3</v>
      </c>
      <c r="I30" s="145"/>
      <c r="J30" s="146">
        <v>1</v>
      </c>
      <c r="K30" s="146"/>
      <c r="L30" s="146"/>
      <c r="M30" s="146"/>
      <c r="N30" s="146"/>
      <c r="O30" s="146"/>
      <c r="P30" s="146"/>
      <c r="Q30" s="152">
        <v>1.0097999572753906</v>
      </c>
    </row>
    <row r="31" spans="1:18" ht="25.5">
      <c r="A31" s="149"/>
      <c r="B31" s="171" t="s">
        <v>369</v>
      </c>
      <c r="C31" s="171" t="s">
        <v>370</v>
      </c>
      <c r="D31" s="174" t="s">
        <v>371</v>
      </c>
      <c r="E31" s="150" t="s">
        <v>372</v>
      </c>
      <c r="F31" s="151" t="s">
        <v>164</v>
      </c>
      <c r="G31" s="151" t="s">
        <v>254</v>
      </c>
      <c r="H31" s="151">
        <v>3</v>
      </c>
      <c r="I31" s="145"/>
      <c r="J31" s="146">
        <v>1</v>
      </c>
      <c r="K31" s="146"/>
      <c r="L31" s="146"/>
      <c r="M31" s="146"/>
      <c r="N31" s="146"/>
      <c r="O31" s="146"/>
      <c r="P31" s="146"/>
      <c r="Q31" s="152">
        <v>1.0097999572753906</v>
      </c>
    </row>
    <row r="32" spans="1:18" ht="89.25">
      <c r="A32" s="149"/>
      <c r="B32" s="172"/>
      <c r="C32" s="172"/>
      <c r="D32" s="175"/>
      <c r="E32" s="154" t="s">
        <v>373</v>
      </c>
      <c r="F32" s="151" t="s">
        <v>164</v>
      </c>
      <c r="G32" s="151" t="s">
        <v>248</v>
      </c>
      <c r="H32" s="151">
        <v>4</v>
      </c>
      <c r="I32" s="145"/>
      <c r="J32" s="146">
        <v>1</v>
      </c>
      <c r="K32" s="146"/>
      <c r="L32" s="146"/>
      <c r="M32" s="146"/>
      <c r="N32" s="146"/>
      <c r="O32" s="146"/>
      <c r="P32" s="146"/>
      <c r="Q32" s="152">
        <v>1.3464000225067139</v>
      </c>
    </row>
    <row r="33" spans="1:17" ht="89.25">
      <c r="A33" s="149"/>
      <c r="B33" s="172"/>
      <c r="C33" s="172"/>
      <c r="D33" s="175"/>
      <c r="E33" s="154" t="s">
        <v>374</v>
      </c>
      <c r="F33" s="151" t="s">
        <v>164</v>
      </c>
      <c r="G33" s="151" t="s">
        <v>254</v>
      </c>
      <c r="H33" s="151">
        <v>3</v>
      </c>
      <c r="I33" s="145"/>
      <c r="J33" s="146">
        <v>1</v>
      </c>
      <c r="K33" s="146"/>
      <c r="L33" s="146"/>
      <c r="M33" s="146"/>
      <c r="N33" s="146"/>
      <c r="O33" s="146"/>
      <c r="P33" s="146"/>
      <c r="Q33" s="152">
        <v>1.0097999572753906</v>
      </c>
    </row>
    <row r="34" spans="1:17" ht="25.5">
      <c r="A34" s="149"/>
      <c r="B34" s="173"/>
      <c r="C34" s="173"/>
      <c r="D34" s="176"/>
      <c r="E34" s="154" t="s">
        <v>375</v>
      </c>
      <c r="F34" s="151" t="s">
        <v>164</v>
      </c>
      <c r="G34" s="151" t="s">
        <v>254</v>
      </c>
      <c r="H34" s="151">
        <v>3</v>
      </c>
      <c r="I34" s="145"/>
      <c r="J34" s="146">
        <v>1</v>
      </c>
      <c r="K34" s="146"/>
      <c r="L34" s="146"/>
      <c r="M34" s="146"/>
      <c r="N34" s="146"/>
      <c r="O34" s="146"/>
      <c r="P34" s="146"/>
      <c r="Q34" s="152">
        <v>1.0097999572753906</v>
      </c>
    </row>
    <row r="35" spans="1:17">
      <c r="A35" s="149"/>
      <c r="B35" s="149"/>
      <c r="C35" s="149"/>
      <c r="D35" s="155"/>
      <c r="E35" s="154"/>
      <c r="F35" s="151"/>
      <c r="G35" s="151"/>
      <c r="H35" s="151"/>
      <c r="I35" s="145"/>
      <c r="J35" s="146"/>
      <c r="K35" s="146"/>
      <c r="L35" s="146"/>
      <c r="M35" s="146"/>
      <c r="N35" s="146"/>
      <c r="O35" s="146"/>
      <c r="P35" s="146"/>
      <c r="Q35" s="152"/>
    </row>
    <row r="36" spans="1:17">
      <c r="A36" s="149"/>
      <c r="B36" s="149"/>
      <c r="C36" s="149"/>
      <c r="D36" s="155"/>
      <c r="E36" s="154"/>
      <c r="F36" s="151"/>
      <c r="G36" s="151"/>
      <c r="H36" s="151"/>
      <c r="I36" s="145"/>
      <c r="J36" s="146"/>
      <c r="K36" s="146"/>
      <c r="L36" s="146"/>
      <c r="M36" s="146"/>
      <c r="N36" s="146"/>
      <c r="O36" s="146"/>
      <c r="P36" s="146"/>
      <c r="Q36" s="152"/>
    </row>
    <row r="37" spans="1:17">
      <c r="A37" s="149"/>
      <c r="B37" s="148"/>
      <c r="C37" s="149"/>
      <c r="D37" s="155"/>
      <c r="E37" s="154"/>
      <c r="F37" s="151"/>
      <c r="G37" s="151"/>
      <c r="H37" s="151"/>
      <c r="I37" s="145"/>
      <c r="J37" s="146"/>
      <c r="K37" s="146"/>
      <c r="L37" s="146"/>
      <c r="M37" s="146"/>
      <c r="N37" s="146"/>
      <c r="O37" s="146"/>
      <c r="P37" s="146"/>
      <c r="Q37" s="152"/>
    </row>
    <row r="38" spans="1:17">
      <c r="A38" s="149"/>
      <c r="B38" s="149"/>
      <c r="C38" s="149"/>
      <c r="D38" s="155"/>
      <c r="E38" s="150"/>
      <c r="F38" s="151"/>
      <c r="G38" s="151"/>
      <c r="H38" s="151"/>
      <c r="I38" s="145"/>
      <c r="J38" s="146"/>
      <c r="K38" s="146"/>
      <c r="L38" s="146"/>
      <c r="M38" s="146"/>
      <c r="N38" s="146"/>
      <c r="O38" s="146"/>
      <c r="P38" s="146"/>
      <c r="Q38" s="152"/>
    </row>
    <row r="39" spans="1:17">
      <c r="A39" s="149"/>
      <c r="B39" s="149"/>
      <c r="C39" s="149"/>
      <c r="D39" s="155"/>
      <c r="E39" s="150"/>
      <c r="F39" s="151"/>
      <c r="G39" s="151"/>
      <c r="H39" s="151"/>
      <c r="I39" s="145"/>
      <c r="J39" s="146"/>
      <c r="K39" s="146"/>
      <c r="L39" s="146"/>
      <c r="M39" s="146"/>
      <c r="N39" s="146"/>
      <c r="O39" s="146"/>
      <c r="P39" s="146"/>
      <c r="Q39" s="152"/>
    </row>
    <row r="40" spans="1:17">
      <c r="A40" s="149"/>
      <c r="B40" s="149"/>
      <c r="C40" s="149"/>
      <c r="D40" s="155"/>
      <c r="E40" s="154"/>
      <c r="F40" s="151"/>
      <c r="G40" s="151"/>
      <c r="H40" s="151"/>
      <c r="I40" s="145"/>
      <c r="J40" s="146"/>
      <c r="K40" s="146"/>
      <c r="L40" s="146"/>
      <c r="M40" s="146"/>
      <c r="N40" s="146"/>
      <c r="O40" s="146"/>
      <c r="P40" s="146"/>
      <c r="Q40" s="152"/>
    </row>
    <row r="41" spans="1:17">
      <c r="A41" s="149"/>
      <c r="B41" s="149"/>
      <c r="C41" s="149"/>
      <c r="D41" s="155"/>
      <c r="E41" s="154"/>
      <c r="F41" s="151"/>
      <c r="G41" s="151"/>
      <c r="H41" s="151"/>
      <c r="I41" s="145"/>
      <c r="J41" s="146"/>
      <c r="K41" s="146"/>
      <c r="L41" s="146"/>
      <c r="M41" s="146"/>
      <c r="N41" s="146"/>
      <c r="O41" s="146"/>
      <c r="P41" s="146"/>
      <c r="Q41" s="152"/>
    </row>
    <row r="42" spans="1:17">
      <c r="A42" s="149"/>
      <c r="B42" s="149"/>
      <c r="C42" s="149"/>
      <c r="D42" s="155"/>
      <c r="E42" s="150"/>
      <c r="F42" s="151"/>
      <c r="G42" s="151"/>
      <c r="H42" s="151"/>
      <c r="I42" s="145"/>
      <c r="J42" s="146"/>
      <c r="K42" s="146"/>
      <c r="L42" s="146"/>
      <c r="M42" s="146"/>
      <c r="N42" s="146"/>
      <c r="O42" s="146"/>
      <c r="P42" s="146"/>
      <c r="Q42" s="152"/>
    </row>
    <row r="43" spans="1:17">
      <c r="A43" s="149"/>
      <c r="B43" s="149"/>
      <c r="C43" s="149"/>
      <c r="D43" s="155"/>
      <c r="E43" s="150"/>
      <c r="F43" s="151"/>
      <c r="G43" s="151"/>
      <c r="H43" s="151"/>
      <c r="I43" s="145"/>
      <c r="J43" s="146"/>
      <c r="K43" s="146"/>
      <c r="L43" s="146"/>
      <c r="M43" s="146"/>
      <c r="N43" s="146"/>
      <c r="O43" s="146"/>
      <c r="P43" s="146"/>
      <c r="Q43" s="152"/>
    </row>
    <row r="44" spans="1:17">
      <c r="A44" s="149"/>
      <c r="B44" s="149"/>
      <c r="C44" s="149"/>
      <c r="D44" s="155"/>
      <c r="E44" s="154"/>
      <c r="F44" s="151"/>
      <c r="G44" s="151"/>
      <c r="H44" s="151"/>
      <c r="I44" s="145"/>
      <c r="J44" s="146"/>
      <c r="K44" s="146"/>
      <c r="L44" s="146"/>
      <c r="M44" s="146"/>
      <c r="N44" s="146"/>
      <c r="O44" s="146"/>
      <c r="P44" s="146"/>
      <c r="Q44" s="152"/>
    </row>
    <row r="45" spans="1:17">
      <c r="A45" s="149"/>
      <c r="B45" s="149"/>
      <c r="C45" s="149"/>
      <c r="D45" s="155"/>
      <c r="E45" s="154"/>
      <c r="F45" s="151"/>
      <c r="G45" s="151"/>
      <c r="H45" s="151"/>
      <c r="I45" s="145"/>
      <c r="J45" s="146"/>
      <c r="K45" s="146"/>
      <c r="L45" s="146"/>
      <c r="M45" s="146"/>
      <c r="N45" s="146"/>
      <c r="O45" s="146"/>
      <c r="P45" s="146"/>
      <c r="Q45" s="152"/>
    </row>
    <row r="46" spans="1:17">
      <c r="A46" s="149"/>
      <c r="B46" s="149"/>
      <c r="C46" s="149"/>
      <c r="D46" s="155"/>
      <c r="E46" s="154"/>
      <c r="F46" s="151"/>
      <c r="G46" s="151"/>
      <c r="H46" s="151"/>
      <c r="I46" s="145"/>
      <c r="J46" s="146"/>
      <c r="K46" s="146"/>
      <c r="L46" s="146"/>
      <c r="M46" s="146"/>
      <c r="N46" s="146"/>
      <c r="O46" s="146"/>
      <c r="P46" s="146"/>
      <c r="Q46" s="152"/>
    </row>
    <row r="47" spans="1:17">
      <c r="A47" s="149"/>
      <c r="B47" s="149"/>
      <c r="C47" s="149"/>
      <c r="D47" s="155"/>
      <c r="E47" s="154"/>
      <c r="F47" s="151"/>
      <c r="G47" s="151"/>
      <c r="H47" s="151"/>
      <c r="I47" s="145"/>
      <c r="J47" s="146"/>
      <c r="K47" s="146"/>
      <c r="L47" s="146"/>
      <c r="M47" s="146"/>
      <c r="N47" s="146"/>
      <c r="O47" s="146"/>
      <c r="P47" s="146"/>
      <c r="Q47" s="152"/>
    </row>
    <row r="48" spans="1:17">
      <c r="A48" s="149"/>
      <c r="B48" s="149"/>
      <c r="C48" s="149"/>
      <c r="D48" s="155"/>
      <c r="E48" s="154"/>
      <c r="F48" s="151"/>
      <c r="G48" s="151"/>
      <c r="H48" s="151"/>
      <c r="I48" s="145"/>
      <c r="J48" s="146"/>
      <c r="K48" s="146"/>
      <c r="L48" s="146"/>
      <c r="M48" s="146"/>
      <c r="N48" s="146"/>
      <c r="O48" s="146"/>
      <c r="P48" s="146"/>
      <c r="Q48" s="152"/>
    </row>
    <row r="49" spans="1:17">
      <c r="A49" s="149"/>
      <c r="B49" s="148"/>
      <c r="C49" s="149"/>
      <c r="D49" s="155"/>
      <c r="E49" s="154"/>
      <c r="F49" s="151"/>
      <c r="G49" s="151"/>
      <c r="H49" s="151"/>
      <c r="I49" s="145"/>
      <c r="J49" s="146"/>
      <c r="K49" s="146"/>
      <c r="L49" s="146"/>
      <c r="M49" s="146"/>
      <c r="N49" s="146"/>
      <c r="O49" s="146"/>
      <c r="P49" s="146"/>
      <c r="Q49" s="152"/>
    </row>
    <row r="50" spans="1:17">
      <c r="A50" s="149"/>
      <c r="B50" s="149"/>
      <c r="C50" s="149"/>
      <c r="D50" s="155"/>
      <c r="E50" s="150"/>
      <c r="F50" s="151"/>
      <c r="G50" s="151"/>
      <c r="H50" s="151"/>
      <c r="I50" s="145"/>
      <c r="J50" s="146"/>
      <c r="K50" s="146"/>
      <c r="L50" s="146"/>
      <c r="M50" s="146"/>
      <c r="N50" s="146"/>
      <c r="O50" s="146"/>
      <c r="P50" s="146"/>
      <c r="Q50" s="152"/>
    </row>
    <row r="51" spans="1:17">
      <c r="A51" s="149"/>
      <c r="B51" s="149"/>
      <c r="C51" s="149"/>
      <c r="D51" s="155"/>
      <c r="E51" s="150"/>
      <c r="F51" s="151"/>
      <c r="G51" s="151"/>
      <c r="H51" s="151"/>
      <c r="I51" s="145"/>
      <c r="J51" s="146"/>
      <c r="K51" s="146"/>
      <c r="L51" s="146"/>
      <c r="M51" s="146"/>
      <c r="N51" s="146"/>
      <c r="O51" s="146"/>
      <c r="P51" s="146"/>
      <c r="Q51" s="152"/>
    </row>
    <row r="52" spans="1:17">
      <c r="A52" s="149"/>
      <c r="B52" s="149"/>
      <c r="C52" s="149"/>
      <c r="D52" s="155"/>
      <c r="E52" s="154"/>
      <c r="F52" s="151"/>
      <c r="G52" s="151"/>
      <c r="H52" s="151"/>
      <c r="I52" s="145"/>
      <c r="J52" s="146"/>
      <c r="K52" s="146"/>
      <c r="L52" s="146"/>
      <c r="M52" s="146"/>
      <c r="N52" s="146"/>
      <c r="O52" s="146"/>
      <c r="P52" s="146"/>
      <c r="Q52" s="152"/>
    </row>
    <row r="53" spans="1:17">
      <c r="A53" s="149"/>
      <c r="B53" s="149"/>
      <c r="C53" s="149"/>
      <c r="D53" s="155"/>
      <c r="E53" s="154"/>
      <c r="F53" s="151"/>
      <c r="G53" s="151"/>
      <c r="H53" s="151"/>
      <c r="I53" s="145"/>
      <c r="J53" s="146"/>
      <c r="K53" s="146"/>
      <c r="L53" s="146"/>
      <c r="M53" s="146"/>
      <c r="N53" s="146"/>
      <c r="O53" s="146"/>
      <c r="P53" s="146"/>
      <c r="Q53" s="152"/>
    </row>
    <row r="54" spans="1:17">
      <c r="A54" s="149"/>
      <c r="B54" s="149"/>
      <c r="C54" s="149"/>
      <c r="D54" s="155"/>
      <c r="E54" s="150"/>
      <c r="F54" s="151"/>
      <c r="G54" s="151"/>
      <c r="H54" s="151"/>
      <c r="I54" s="145"/>
      <c r="J54" s="146"/>
      <c r="K54" s="146"/>
      <c r="L54" s="146"/>
      <c r="M54" s="146"/>
      <c r="N54" s="146"/>
      <c r="O54" s="146"/>
      <c r="P54" s="146"/>
      <c r="Q54" s="152"/>
    </row>
    <row r="55" spans="1:17">
      <c r="A55" s="149"/>
      <c r="B55" s="149"/>
      <c r="C55" s="149"/>
      <c r="D55" s="155"/>
      <c r="E55" s="150"/>
      <c r="F55" s="151"/>
      <c r="G55" s="151"/>
      <c r="H55" s="151"/>
      <c r="I55" s="145"/>
      <c r="J55" s="146"/>
      <c r="K55" s="146"/>
      <c r="L55" s="146"/>
      <c r="M55" s="146"/>
      <c r="N55" s="146"/>
      <c r="O55" s="146"/>
      <c r="P55" s="146"/>
      <c r="Q55" s="152"/>
    </row>
    <row r="56" spans="1:17">
      <c r="A56" s="149"/>
      <c r="B56" s="149"/>
      <c r="C56" s="149"/>
      <c r="D56" s="155"/>
      <c r="E56" s="154"/>
      <c r="F56" s="151"/>
      <c r="G56" s="151"/>
      <c r="H56" s="151"/>
      <c r="I56" s="145"/>
      <c r="J56" s="146"/>
      <c r="K56" s="146"/>
      <c r="L56" s="146"/>
      <c r="M56" s="146"/>
      <c r="N56" s="146"/>
      <c r="O56" s="146"/>
      <c r="P56" s="146"/>
      <c r="Q56" s="152"/>
    </row>
    <row r="57" spans="1:17">
      <c r="A57" s="149"/>
      <c r="B57" s="149"/>
      <c r="C57" s="149"/>
      <c r="D57" s="155"/>
      <c r="E57" s="154"/>
      <c r="F57" s="151"/>
      <c r="G57" s="151"/>
      <c r="H57" s="151"/>
      <c r="I57" s="145"/>
      <c r="J57" s="146"/>
      <c r="K57" s="146"/>
      <c r="L57" s="146"/>
      <c r="M57" s="146"/>
      <c r="N57" s="146"/>
      <c r="O57" s="146"/>
      <c r="P57" s="146"/>
      <c r="Q57" s="152"/>
    </row>
    <row r="58" spans="1:17">
      <c r="A58" s="149"/>
      <c r="B58" s="149"/>
      <c r="C58" s="149"/>
      <c r="D58" s="155"/>
      <c r="E58" s="154"/>
      <c r="F58" s="151"/>
      <c r="G58" s="151"/>
      <c r="H58" s="151"/>
      <c r="I58" s="145"/>
      <c r="J58" s="146"/>
      <c r="K58" s="146"/>
      <c r="L58" s="146"/>
      <c r="M58" s="146"/>
      <c r="N58" s="146"/>
      <c r="O58" s="146"/>
      <c r="P58" s="146"/>
      <c r="Q58" s="152"/>
    </row>
    <row r="59" spans="1:17">
      <c r="A59" s="149"/>
      <c r="B59" s="149"/>
      <c r="C59" s="149"/>
      <c r="D59" s="155"/>
      <c r="E59" s="154"/>
      <c r="F59" s="151"/>
      <c r="G59" s="151"/>
      <c r="H59" s="151"/>
      <c r="I59" s="145"/>
      <c r="J59" s="146"/>
      <c r="K59" s="146"/>
      <c r="L59" s="146"/>
      <c r="M59" s="146"/>
      <c r="N59" s="146"/>
      <c r="O59" s="146"/>
      <c r="P59" s="146"/>
      <c r="Q59" s="152"/>
    </row>
    <row r="60" spans="1:17">
      <c r="A60" s="149"/>
      <c r="B60" s="149"/>
      <c r="C60" s="149"/>
      <c r="D60" s="155"/>
      <c r="E60" s="154"/>
      <c r="F60" s="151"/>
      <c r="G60" s="151"/>
      <c r="H60" s="151"/>
      <c r="I60" s="145"/>
      <c r="J60" s="146"/>
      <c r="K60" s="146"/>
      <c r="L60" s="146"/>
      <c r="M60" s="146"/>
      <c r="N60" s="146"/>
      <c r="O60" s="146"/>
      <c r="P60" s="146"/>
      <c r="Q60" s="152"/>
    </row>
    <row r="61" spans="1:17">
      <c r="A61" s="149"/>
      <c r="B61" s="149"/>
      <c r="C61" s="149"/>
      <c r="D61" s="155"/>
      <c r="E61" s="154"/>
      <c r="F61" s="151"/>
      <c r="G61" s="151"/>
      <c r="H61" s="151"/>
      <c r="I61" s="145"/>
      <c r="J61" s="146"/>
      <c r="K61" s="146"/>
      <c r="L61" s="146"/>
      <c r="M61" s="146"/>
      <c r="N61" s="146"/>
      <c r="O61" s="146"/>
      <c r="P61" s="146"/>
      <c r="Q61" s="152"/>
    </row>
    <row r="62" spans="1:17">
      <c r="A62" s="149"/>
      <c r="B62" s="149"/>
      <c r="C62" s="149"/>
      <c r="D62" s="155"/>
      <c r="E62" s="154"/>
      <c r="F62" s="151"/>
      <c r="G62" s="151"/>
      <c r="H62" s="151"/>
      <c r="I62" s="145"/>
      <c r="J62" s="146"/>
      <c r="K62" s="146"/>
      <c r="L62" s="146"/>
      <c r="M62" s="146"/>
      <c r="N62" s="146"/>
      <c r="O62" s="146"/>
      <c r="P62" s="146"/>
      <c r="Q62" s="152"/>
    </row>
    <row r="63" spans="1:17">
      <c r="A63" s="149"/>
      <c r="B63" s="149"/>
      <c r="C63" s="149"/>
      <c r="D63" s="155"/>
      <c r="E63" s="154"/>
      <c r="F63" s="151"/>
      <c r="G63" s="151"/>
      <c r="H63" s="151"/>
      <c r="I63" s="145"/>
      <c r="J63" s="146"/>
      <c r="K63" s="146"/>
      <c r="L63" s="146"/>
      <c r="M63" s="146"/>
      <c r="N63" s="146"/>
      <c r="O63" s="146"/>
      <c r="P63" s="146"/>
      <c r="Q63" s="152"/>
    </row>
    <row r="64" spans="1:17">
      <c r="A64" s="149"/>
      <c r="B64" s="149"/>
      <c r="C64" s="149"/>
      <c r="D64" s="155"/>
      <c r="E64" s="154"/>
      <c r="F64" s="151"/>
      <c r="G64" s="151"/>
      <c r="H64" s="151"/>
      <c r="I64" s="145"/>
      <c r="J64" s="146"/>
      <c r="K64" s="146"/>
      <c r="L64" s="146"/>
      <c r="M64" s="146"/>
      <c r="N64" s="146"/>
      <c r="O64" s="146"/>
      <c r="P64" s="146"/>
      <c r="Q64" s="152"/>
    </row>
    <row r="65" spans="9:16">
      <c r="I65" s="145"/>
      <c r="J65" s="146"/>
      <c r="K65" s="146"/>
      <c r="L65" s="146"/>
      <c r="M65" s="146"/>
      <c r="N65" s="146"/>
      <c r="O65" s="146"/>
      <c r="P65" s="146"/>
    </row>
    <row r="66" spans="9:16">
      <c r="I66" s="145"/>
      <c r="J66" s="146"/>
      <c r="K66" s="146"/>
      <c r="L66" s="146"/>
      <c r="M66" s="146"/>
      <c r="N66" s="146"/>
      <c r="O66" s="146"/>
      <c r="P66" s="146"/>
    </row>
    <row r="67" spans="9:16">
      <c r="I67" s="145"/>
      <c r="J67" s="146"/>
      <c r="K67" s="146"/>
      <c r="L67" s="146"/>
      <c r="M67" s="146"/>
      <c r="N67" s="146"/>
      <c r="O67" s="146"/>
      <c r="P67" s="146"/>
    </row>
  </sheetData>
  <sheetProtection formatCells="0" formatColumns="0" formatRows="0" insertRows="0" deleteRows="0"/>
  <protectedRanges>
    <protectedRange sqref="B4:G17" name="story" securityDescriptor=""/>
    <protectedRange sqref="J4:J17" name="区域2" securityDescriptor=""/>
    <protectedRange sqref="B18:G20" name="story_1"/>
  </protectedRanges>
  <mergeCells count="22">
    <mergeCell ref="R4:R15"/>
    <mergeCell ref="I1:P1"/>
    <mergeCell ref="Q1:Q2"/>
    <mergeCell ref="A3:H3"/>
    <mergeCell ref="B4:B17"/>
    <mergeCell ref="C4:C17"/>
    <mergeCell ref="D4:D17"/>
    <mergeCell ref="A1:A2"/>
    <mergeCell ref="B1:B2"/>
    <mergeCell ref="C1:C2"/>
    <mergeCell ref="D1:D2"/>
    <mergeCell ref="E1:E2"/>
    <mergeCell ref="F1:H1"/>
    <mergeCell ref="D21:D30"/>
    <mergeCell ref="D31:D34"/>
    <mergeCell ref="C31:C34"/>
    <mergeCell ref="B31:B34"/>
    <mergeCell ref="B18:B20"/>
    <mergeCell ref="C18:C20"/>
    <mergeCell ref="D18:D20"/>
    <mergeCell ref="B21:B30"/>
    <mergeCell ref="C21:C30"/>
  </mergeCells>
  <phoneticPr fontId="2" type="noConversion"/>
  <dataValidations count="4">
    <dataValidation type="list" allowBlank="1" showInputMessage="1" showErrorMessage="1" sqref="H4:H64">
      <formula1>"35,15,10,7,6,5,4,3, "</formula1>
    </dataValidation>
    <dataValidation type="list" allowBlank="1" showInputMessage="1" showErrorMessage="1" sqref="G4:G64">
      <formula1>"低,中,高"</formula1>
    </dataValidation>
    <dataValidation type="list" allowBlank="1" showInputMessage="1" showErrorMessage="1" sqref="F4:F64">
      <formula1>"ILF,ELF,EI,EO,EQ"</formula1>
    </dataValidation>
    <dataValidation type="list" allowBlank="1" showInputMessage="1" showErrorMessage="1" sqref="I4:P67">
      <formula1>"0.3,0.5,0.7,0.9,1"</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29697" r:id="rId4" name="FPACal">
          <controlPr defaultSize="0" autoLine="0" r:id="rId5">
            <anchor moveWithCells="1">
              <from>
                <xdr:col>18</xdr:col>
                <xdr:colOff>9525</xdr:colOff>
                <xdr:row>1</xdr:row>
                <xdr:rowOff>0</xdr:rowOff>
              </from>
              <to>
                <xdr:col>19</xdr:col>
                <xdr:colOff>142875</xdr:colOff>
                <xdr:row>2</xdr:row>
                <xdr:rowOff>142875</xdr:rowOff>
              </to>
            </anchor>
          </controlPr>
        </control>
      </mc:Choice>
      <mc:Fallback>
        <control shapeId="29697" r:id="rId4" name="FPACa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126"/>
  <sheetViews>
    <sheetView zoomScale="115" zoomScaleNormal="115" workbookViewId="0">
      <pane xSplit="1" ySplit="3" topLeftCell="B4" activePane="bottomRight" state="frozen"/>
      <selection pane="topRight" activeCell="B1" sqref="B1"/>
      <selection pane="bottomLeft" activeCell="A4" sqref="A4"/>
      <selection pane="bottomRight" activeCell="U6" sqref="U6"/>
    </sheetView>
  </sheetViews>
  <sheetFormatPr defaultColWidth="9.125" defaultRowHeight="13.5"/>
  <cols>
    <col min="1" max="2" width="6.5" style="136" customWidth="1"/>
    <col min="3" max="3" width="28.125" style="136" customWidth="1"/>
    <col min="4" max="4" width="33.125" style="159" bestFit="1" customWidth="1"/>
    <col min="5" max="5" width="24.25" style="136" bestFit="1" customWidth="1"/>
    <col min="6" max="6" width="4.875" style="160" customWidth="1"/>
    <col min="7" max="7" width="4.875" style="160" bestFit="1" customWidth="1"/>
    <col min="8" max="8" width="4.125" style="136" customWidth="1"/>
    <col min="9" max="9" width="4.875" style="136" bestFit="1" customWidth="1"/>
    <col min="10" max="10" width="8.125" style="136" customWidth="1"/>
    <col min="11" max="11" width="5.125" style="136" customWidth="1"/>
    <col min="12" max="12" width="8.125" style="136" customWidth="1"/>
    <col min="13" max="13" width="6.125" style="136" customWidth="1"/>
    <col min="14" max="14" width="7.125" style="136" bestFit="1" customWidth="1"/>
    <col min="15" max="15" width="5.125" style="136" bestFit="1" customWidth="1"/>
    <col min="16" max="16" width="7.125" style="160" bestFit="1" customWidth="1"/>
    <col min="17" max="17" width="8" style="147" customWidth="1"/>
    <col min="18" max="18" width="3.75" style="136" customWidth="1"/>
    <col min="19" max="19" width="7" style="136" customWidth="1"/>
    <col min="20" max="16384" width="9.125" style="136"/>
  </cols>
  <sheetData>
    <row r="1" spans="1:18" ht="16.899999999999999" customHeight="1" thickBot="1">
      <c r="A1" s="191" t="s">
        <v>173</v>
      </c>
      <c r="B1" s="193" t="s">
        <v>171</v>
      </c>
      <c r="C1" s="195" t="s">
        <v>184</v>
      </c>
      <c r="D1" s="197" t="s">
        <v>183</v>
      </c>
      <c r="E1" s="199" t="s">
        <v>176</v>
      </c>
      <c r="F1" s="201" t="s">
        <v>302</v>
      </c>
      <c r="G1" s="202"/>
      <c r="H1" s="202"/>
      <c r="I1" s="180" t="s">
        <v>301</v>
      </c>
      <c r="J1" s="181"/>
      <c r="K1" s="181"/>
      <c r="L1" s="181"/>
      <c r="M1" s="181"/>
      <c r="N1" s="181"/>
      <c r="O1" s="181"/>
      <c r="P1" s="182"/>
      <c r="Q1" s="183" t="s">
        <v>303</v>
      </c>
    </row>
    <row r="2" spans="1:18" ht="26.25" thickBot="1">
      <c r="A2" s="192"/>
      <c r="B2" s="194"/>
      <c r="C2" s="196"/>
      <c r="D2" s="198"/>
      <c r="E2" s="200"/>
      <c r="F2" s="137" t="s">
        <v>0</v>
      </c>
      <c r="G2" s="138" t="s">
        <v>196</v>
      </c>
      <c r="H2" s="138" t="s">
        <v>174</v>
      </c>
      <c r="I2" s="139" t="s">
        <v>300</v>
      </c>
      <c r="J2" s="140" t="s">
        <v>237</v>
      </c>
      <c r="K2" s="140" t="s">
        <v>242</v>
      </c>
      <c r="L2" s="140" t="s">
        <v>243</v>
      </c>
      <c r="M2" s="140" t="s">
        <v>238</v>
      </c>
      <c r="N2" s="140" t="s">
        <v>241</v>
      </c>
      <c r="O2" s="140" t="s">
        <v>175</v>
      </c>
      <c r="P2" s="141" t="s">
        <v>169</v>
      </c>
      <c r="Q2" s="184"/>
    </row>
    <row r="3" spans="1:18" ht="15.75" customHeight="1" thickBot="1">
      <c r="A3" s="185" t="s">
        <v>304</v>
      </c>
      <c r="B3" s="186"/>
      <c r="C3" s="186"/>
      <c r="D3" s="186"/>
      <c r="E3" s="186"/>
      <c r="F3" s="186"/>
      <c r="G3" s="186"/>
      <c r="H3" s="186"/>
      <c r="I3" s="142">
        <v>0</v>
      </c>
      <c r="J3" s="143">
        <f>SUMPRODUCT(J4:J88*FPA参数表!$R3,$H$4:$H$88)</f>
        <v>33.256079999999976</v>
      </c>
      <c r="K3" s="143">
        <f>SUMPRODUCT(K4:K88*FPA参数表!$R4,$H$4:$H$88)</f>
        <v>0</v>
      </c>
      <c r="L3" s="143">
        <f>SUMPRODUCT(L4:L88*FPA参数表!$R5,$H$4:$H$88)</f>
        <v>0</v>
      </c>
      <c r="M3" s="143">
        <f>SUMPRODUCT(M4:M88*FPA参数表!$R6,$H$4:$H$88)</f>
        <v>0</v>
      </c>
      <c r="N3" s="143">
        <f>SUMPRODUCT(N4:N88*FPA参数表!$R7,$H$4:$H$88)</f>
        <v>0</v>
      </c>
      <c r="O3" s="143">
        <f>SUMPRODUCT(O4:O88*FPA参数表!$R8,$H$4:$H$88)</f>
        <v>0</v>
      </c>
      <c r="P3" s="143">
        <f>SUMPRODUCT(P4:P88*FPA参数表!$R9,$H$4:$H$88)</f>
        <v>0</v>
      </c>
      <c r="Q3" s="144">
        <f>SUM(I3:P3)</f>
        <v>33.256079999999976</v>
      </c>
    </row>
    <row r="4" spans="1:18">
      <c r="A4" s="148"/>
      <c r="B4" s="187" t="s">
        <v>305</v>
      </c>
      <c r="C4" s="187" t="s">
        <v>306</v>
      </c>
      <c r="D4" s="189"/>
      <c r="E4" s="162" t="s">
        <v>307</v>
      </c>
      <c r="F4" s="163" t="s">
        <v>167</v>
      </c>
      <c r="G4" s="163" t="s">
        <v>254</v>
      </c>
      <c r="H4" s="151">
        <v>3</v>
      </c>
      <c r="I4" s="145"/>
      <c r="J4" s="163">
        <v>0.7</v>
      </c>
      <c r="K4" s="146"/>
      <c r="L4" s="146"/>
      <c r="M4" s="146"/>
      <c r="N4" s="146"/>
      <c r="O4" s="146"/>
      <c r="P4" s="146"/>
      <c r="Q4" s="152">
        <v>0.7068600058555603</v>
      </c>
      <c r="R4" s="179"/>
    </row>
    <row r="5" spans="1:18">
      <c r="A5" s="148"/>
      <c r="B5" s="188"/>
      <c r="C5" s="188"/>
      <c r="D5" s="190"/>
      <c r="E5" s="162" t="s">
        <v>308</v>
      </c>
      <c r="F5" s="163" t="s">
        <v>167</v>
      </c>
      <c r="G5" s="163" t="s">
        <v>254</v>
      </c>
      <c r="H5" s="151">
        <v>3</v>
      </c>
      <c r="I5" s="145"/>
      <c r="J5" s="163">
        <v>0.7</v>
      </c>
      <c r="K5" s="146"/>
      <c r="L5" s="146"/>
      <c r="M5" s="146"/>
      <c r="N5" s="146"/>
      <c r="O5" s="146"/>
      <c r="P5" s="146"/>
      <c r="Q5" s="152">
        <v>0.7068600058555603</v>
      </c>
      <c r="R5" s="179"/>
    </row>
    <row r="6" spans="1:18">
      <c r="A6" s="148"/>
      <c r="B6" s="188"/>
      <c r="C6" s="188"/>
      <c r="D6" s="190"/>
      <c r="E6" s="162" t="s">
        <v>309</v>
      </c>
      <c r="F6" s="163" t="s">
        <v>164</v>
      </c>
      <c r="G6" s="163" t="s">
        <v>254</v>
      </c>
      <c r="H6" s="151">
        <v>3</v>
      </c>
      <c r="I6" s="145"/>
      <c r="J6" s="163">
        <v>0.7</v>
      </c>
      <c r="K6" s="146"/>
      <c r="L6" s="146"/>
      <c r="M6" s="146"/>
      <c r="N6" s="146"/>
      <c r="O6" s="146"/>
      <c r="P6" s="146"/>
      <c r="Q6" s="152">
        <v>0.7068600058555603</v>
      </c>
      <c r="R6" s="179"/>
    </row>
    <row r="7" spans="1:18">
      <c r="A7" s="148"/>
      <c r="B7" s="188"/>
      <c r="C7" s="188"/>
      <c r="D7" s="190"/>
      <c r="E7" s="162" t="s">
        <v>310</v>
      </c>
      <c r="F7" s="163" t="s">
        <v>167</v>
      </c>
      <c r="G7" s="163" t="s">
        <v>254</v>
      </c>
      <c r="H7" s="151">
        <v>3</v>
      </c>
      <c r="I7" s="145"/>
      <c r="J7" s="163">
        <v>0.7</v>
      </c>
      <c r="K7" s="146"/>
      <c r="L7" s="146"/>
      <c r="M7" s="146"/>
      <c r="N7" s="146"/>
      <c r="O7" s="146"/>
      <c r="P7" s="146"/>
      <c r="Q7" s="152">
        <v>0.7068600058555603</v>
      </c>
      <c r="R7" s="179"/>
    </row>
    <row r="8" spans="1:18">
      <c r="A8" s="148"/>
      <c r="B8" s="188"/>
      <c r="C8" s="188"/>
      <c r="D8" s="190"/>
      <c r="E8" s="162" t="s">
        <v>311</v>
      </c>
      <c r="F8" s="163" t="s">
        <v>164</v>
      </c>
      <c r="G8" s="163" t="s">
        <v>254</v>
      </c>
      <c r="H8" s="151">
        <v>3</v>
      </c>
      <c r="I8" s="145"/>
      <c r="J8" s="163">
        <v>0.7</v>
      </c>
      <c r="K8" s="146"/>
      <c r="L8" s="146"/>
      <c r="M8" s="146"/>
      <c r="N8" s="146"/>
      <c r="O8" s="146"/>
      <c r="P8" s="146"/>
      <c r="Q8" s="152">
        <v>0.7068600058555603</v>
      </c>
      <c r="R8" s="179"/>
    </row>
    <row r="9" spans="1:18">
      <c r="A9" s="148"/>
      <c r="B9" s="188"/>
      <c r="C9" s="188"/>
      <c r="D9" s="190"/>
      <c r="E9" s="162" t="s">
        <v>312</v>
      </c>
      <c r="F9" s="163" t="s">
        <v>167</v>
      </c>
      <c r="G9" s="163" t="s">
        <v>254</v>
      </c>
      <c r="H9" s="151">
        <v>3</v>
      </c>
      <c r="I9" s="145"/>
      <c r="J9" s="163">
        <v>0.7</v>
      </c>
      <c r="K9" s="146"/>
      <c r="L9" s="146"/>
      <c r="M9" s="146"/>
      <c r="N9" s="146"/>
      <c r="O9" s="146"/>
      <c r="P9" s="146"/>
      <c r="Q9" s="152">
        <v>0.7068600058555603</v>
      </c>
      <c r="R9" s="179"/>
    </row>
    <row r="10" spans="1:18">
      <c r="A10" s="148"/>
      <c r="B10" s="188"/>
      <c r="C10" s="188"/>
      <c r="D10" s="190"/>
      <c r="E10" s="164" t="s">
        <v>313</v>
      </c>
      <c r="F10" s="163" t="s">
        <v>164</v>
      </c>
      <c r="G10" s="163" t="s">
        <v>248</v>
      </c>
      <c r="H10" s="151">
        <v>4</v>
      </c>
      <c r="I10" s="145"/>
      <c r="J10" s="163">
        <v>0.3</v>
      </c>
      <c r="K10" s="146"/>
      <c r="L10" s="146"/>
      <c r="M10" s="146"/>
      <c r="N10" s="146"/>
      <c r="O10" s="146"/>
      <c r="P10" s="146"/>
      <c r="Q10" s="152">
        <v>0.40392002463340759</v>
      </c>
      <c r="R10" s="179"/>
    </row>
    <row r="11" spans="1:18">
      <c r="A11" s="148"/>
      <c r="B11" s="188"/>
      <c r="C11" s="188"/>
      <c r="D11" s="190"/>
      <c r="E11" s="164" t="s">
        <v>314</v>
      </c>
      <c r="F11" s="163" t="s">
        <v>164</v>
      </c>
      <c r="G11" s="163" t="s">
        <v>248</v>
      </c>
      <c r="H11" s="151">
        <v>4</v>
      </c>
      <c r="I11" s="145"/>
      <c r="J11" s="163">
        <v>0.3</v>
      </c>
      <c r="K11" s="146"/>
      <c r="L11" s="146"/>
      <c r="M11" s="146"/>
      <c r="N11" s="146"/>
      <c r="O11" s="146"/>
      <c r="P11" s="146"/>
      <c r="Q11" s="152">
        <v>0.40392002463340759</v>
      </c>
      <c r="R11" s="179"/>
    </row>
    <row r="12" spans="1:18">
      <c r="A12" s="148"/>
      <c r="B12" s="188"/>
      <c r="C12" s="188"/>
      <c r="D12" s="190"/>
      <c r="E12" s="164" t="s">
        <v>315</v>
      </c>
      <c r="F12" s="163" t="s">
        <v>164</v>
      </c>
      <c r="G12" s="163" t="s">
        <v>248</v>
      </c>
      <c r="H12" s="151">
        <v>4</v>
      </c>
      <c r="I12" s="145"/>
      <c r="J12" s="163">
        <v>0.3</v>
      </c>
      <c r="K12" s="146"/>
      <c r="L12" s="146"/>
      <c r="M12" s="146"/>
      <c r="N12" s="146"/>
      <c r="O12" s="146"/>
      <c r="P12" s="146"/>
      <c r="Q12" s="152">
        <v>0.40392002463340759</v>
      </c>
      <c r="R12" s="179"/>
    </row>
    <row r="13" spans="1:18">
      <c r="A13" s="148"/>
      <c r="B13" s="188"/>
      <c r="C13" s="188"/>
      <c r="D13" s="190"/>
      <c r="E13" s="164" t="s">
        <v>316</v>
      </c>
      <c r="F13" s="163" t="s">
        <v>164</v>
      </c>
      <c r="G13" s="163" t="s">
        <v>254</v>
      </c>
      <c r="H13" s="151">
        <v>3</v>
      </c>
      <c r="I13" s="145"/>
      <c r="J13" s="163">
        <v>0.3</v>
      </c>
      <c r="K13" s="146"/>
      <c r="L13" s="146"/>
      <c r="M13" s="146"/>
      <c r="N13" s="146"/>
      <c r="O13" s="146"/>
      <c r="P13" s="146"/>
      <c r="Q13" s="152">
        <v>0.3029400110244751</v>
      </c>
      <c r="R13" s="179"/>
    </row>
    <row r="14" spans="1:18">
      <c r="A14" s="148"/>
      <c r="B14" s="188"/>
      <c r="C14" s="188"/>
      <c r="D14" s="190"/>
      <c r="E14" s="162" t="s">
        <v>317</v>
      </c>
      <c r="F14" s="165" t="s">
        <v>164</v>
      </c>
      <c r="G14" s="165" t="s">
        <v>254</v>
      </c>
      <c r="H14" s="151">
        <v>3</v>
      </c>
      <c r="I14" s="145"/>
      <c r="J14" s="163">
        <v>0.3</v>
      </c>
      <c r="K14" s="146"/>
      <c r="L14" s="146"/>
      <c r="M14" s="146"/>
      <c r="N14" s="146"/>
      <c r="O14" s="146"/>
      <c r="P14" s="146"/>
      <c r="Q14" s="152">
        <v>0.3029400110244751</v>
      </c>
      <c r="R14" s="179"/>
    </row>
    <row r="15" spans="1:18">
      <c r="A15" s="148"/>
      <c r="B15" s="188"/>
      <c r="C15" s="188"/>
      <c r="D15" s="190"/>
      <c r="E15" s="162" t="s">
        <v>318</v>
      </c>
      <c r="F15" s="166" t="s">
        <v>289</v>
      </c>
      <c r="G15" s="166" t="s">
        <v>254</v>
      </c>
      <c r="H15" s="151">
        <v>4</v>
      </c>
      <c r="I15" s="145"/>
      <c r="J15" s="163">
        <v>0.3</v>
      </c>
      <c r="K15" s="146"/>
      <c r="L15" s="146"/>
      <c r="M15" s="146"/>
      <c r="N15" s="146"/>
      <c r="O15" s="146"/>
      <c r="P15" s="146"/>
      <c r="Q15" s="152">
        <v>0.40392002463340759</v>
      </c>
      <c r="R15" s="179"/>
    </row>
    <row r="16" spans="1:18">
      <c r="A16" s="148"/>
      <c r="B16" s="188"/>
      <c r="C16" s="188"/>
      <c r="D16" s="190"/>
      <c r="E16" s="162" t="s">
        <v>319</v>
      </c>
      <c r="F16" s="163" t="s">
        <v>164</v>
      </c>
      <c r="G16" s="163" t="s">
        <v>248</v>
      </c>
      <c r="H16" s="151">
        <v>4</v>
      </c>
      <c r="I16" s="145"/>
      <c r="J16" s="163">
        <v>0.3</v>
      </c>
      <c r="K16" s="146"/>
      <c r="L16" s="146"/>
      <c r="M16" s="146"/>
      <c r="N16" s="146"/>
      <c r="O16" s="146"/>
      <c r="P16" s="146"/>
      <c r="Q16" s="152">
        <v>0.40392002463340759</v>
      </c>
      <c r="R16" s="179"/>
    </row>
    <row r="17" spans="1:18">
      <c r="A17" s="148"/>
      <c r="B17" s="188"/>
      <c r="C17" s="188"/>
      <c r="D17" s="190"/>
      <c r="E17" s="162" t="s">
        <v>320</v>
      </c>
      <c r="F17" s="166" t="s">
        <v>164</v>
      </c>
      <c r="G17" s="166" t="s">
        <v>254</v>
      </c>
      <c r="H17" s="151">
        <v>3</v>
      </c>
      <c r="I17" s="145"/>
      <c r="J17" s="163">
        <v>0.3</v>
      </c>
      <c r="K17" s="146"/>
      <c r="L17" s="146"/>
      <c r="M17" s="146"/>
      <c r="N17" s="146"/>
      <c r="O17" s="146"/>
      <c r="P17" s="146"/>
      <c r="Q17" s="152">
        <v>0.3029400110244751</v>
      </c>
      <c r="R17" s="179"/>
    </row>
    <row r="18" spans="1:18">
      <c r="A18" s="148"/>
      <c r="B18" s="188"/>
      <c r="C18" s="188"/>
      <c r="D18" s="190"/>
      <c r="E18" s="167" t="s">
        <v>321</v>
      </c>
      <c r="F18" s="166" t="s">
        <v>164</v>
      </c>
      <c r="G18" s="166" t="s">
        <v>254</v>
      </c>
      <c r="H18" s="156">
        <v>3</v>
      </c>
      <c r="I18" s="145"/>
      <c r="J18" s="163">
        <v>0.3</v>
      </c>
      <c r="K18" s="146"/>
      <c r="L18" s="146"/>
      <c r="M18" s="146"/>
      <c r="N18" s="146"/>
      <c r="O18" s="146"/>
      <c r="P18" s="146"/>
      <c r="Q18" s="152">
        <v>0.3029400110244751</v>
      </c>
      <c r="R18" s="179"/>
    </row>
    <row r="19" spans="1:18">
      <c r="A19" s="148"/>
      <c r="B19" s="188"/>
      <c r="C19" s="188"/>
      <c r="D19" s="190"/>
      <c r="E19" s="162" t="s">
        <v>322</v>
      </c>
      <c r="F19" s="166" t="s">
        <v>164</v>
      </c>
      <c r="G19" s="166" t="s">
        <v>254</v>
      </c>
      <c r="H19" s="156">
        <v>3</v>
      </c>
      <c r="I19" s="145"/>
      <c r="J19" s="163">
        <v>0.3</v>
      </c>
      <c r="K19" s="146"/>
      <c r="L19" s="146"/>
      <c r="M19" s="146"/>
      <c r="N19" s="146"/>
      <c r="O19" s="146"/>
      <c r="P19" s="146"/>
      <c r="Q19" s="152">
        <v>0.3029400110244751</v>
      </c>
      <c r="R19" s="153"/>
    </row>
    <row r="20" spans="1:18">
      <c r="A20" s="148"/>
      <c r="B20" s="188"/>
      <c r="C20" s="188"/>
      <c r="D20" s="190"/>
      <c r="E20" s="167" t="s">
        <v>323</v>
      </c>
      <c r="F20" s="166" t="s">
        <v>164</v>
      </c>
      <c r="G20" s="166" t="s">
        <v>248</v>
      </c>
      <c r="H20" s="156">
        <v>4</v>
      </c>
      <c r="I20" s="145"/>
      <c r="J20" s="163">
        <v>0.3</v>
      </c>
      <c r="K20" s="146"/>
      <c r="L20" s="146"/>
      <c r="M20" s="146"/>
      <c r="N20" s="146"/>
      <c r="O20" s="146"/>
      <c r="P20" s="146"/>
      <c r="Q20" s="152">
        <v>0.40392002463340759</v>
      </c>
      <c r="R20" s="179"/>
    </row>
    <row r="21" spans="1:18">
      <c r="A21" s="148"/>
      <c r="B21" s="187" t="s">
        <v>324</v>
      </c>
      <c r="C21" s="187" t="s">
        <v>325</v>
      </c>
      <c r="D21" s="189"/>
      <c r="E21" s="162" t="s">
        <v>326</v>
      </c>
      <c r="F21" s="163" t="s">
        <v>167</v>
      </c>
      <c r="G21" s="163" t="s">
        <v>254</v>
      </c>
      <c r="H21" s="156">
        <v>3</v>
      </c>
      <c r="I21" s="145"/>
      <c r="J21" s="163">
        <v>0.7</v>
      </c>
      <c r="K21" s="146"/>
      <c r="L21" s="146"/>
      <c r="M21" s="146"/>
      <c r="N21" s="146"/>
      <c r="O21" s="146"/>
      <c r="P21" s="146"/>
      <c r="Q21" s="152">
        <v>0.7068600058555603</v>
      </c>
      <c r="R21" s="179"/>
    </row>
    <row r="22" spans="1:18">
      <c r="A22" s="148"/>
      <c r="B22" s="188"/>
      <c r="C22" s="188"/>
      <c r="D22" s="190"/>
      <c r="E22" s="162" t="s">
        <v>327</v>
      </c>
      <c r="F22" s="163" t="s">
        <v>167</v>
      </c>
      <c r="G22" s="163" t="s">
        <v>254</v>
      </c>
      <c r="H22" s="156">
        <v>3</v>
      </c>
      <c r="I22" s="145"/>
      <c r="J22" s="163">
        <v>0.7</v>
      </c>
      <c r="K22" s="146"/>
      <c r="L22" s="146"/>
      <c r="M22" s="146"/>
      <c r="N22" s="146"/>
      <c r="O22" s="146"/>
      <c r="P22" s="146"/>
      <c r="Q22" s="152">
        <v>0.7068600058555603</v>
      </c>
      <c r="R22" s="179"/>
    </row>
    <row r="23" spans="1:18">
      <c r="A23" s="148"/>
      <c r="B23" s="188"/>
      <c r="C23" s="188"/>
      <c r="D23" s="190"/>
      <c r="E23" s="162" t="s">
        <v>328</v>
      </c>
      <c r="F23" s="163" t="s">
        <v>167</v>
      </c>
      <c r="G23" s="163" t="s">
        <v>254</v>
      </c>
      <c r="H23" s="151">
        <v>3</v>
      </c>
      <c r="I23" s="145"/>
      <c r="J23" s="163">
        <v>0.7</v>
      </c>
      <c r="K23" s="146"/>
      <c r="L23" s="146"/>
      <c r="M23" s="146"/>
      <c r="N23" s="146"/>
      <c r="O23" s="146"/>
      <c r="P23" s="146"/>
      <c r="Q23" s="152">
        <v>0.7068600058555603</v>
      </c>
      <c r="R23" s="179"/>
    </row>
    <row r="24" spans="1:18">
      <c r="A24" s="148"/>
      <c r="B24" s="188"/>
      <c r="C24" s="188"/>
      <c r="D24" s="190"/>
      <c r="E24" s="162" t="s">
        <v>329</v>
      </c>
      <c r="F24" s="163" t="s">
        <v>167</v>
      </c>
      <c r="G24" s="163" t="s">
        <v>254</v>
      </c>
      <c r="H24" s="151">
        <v>3</v>
      </c>
      <c r="I24" s="145"/>
      <c r="J24" s="163">
        <v>0.7</v>
      </c>
      <c r="K24" s="146"/>
      <c r="L24" s="146"/>
      <c r="M24" s="146"/>
      <c r="N24" s="146"/>
      <c r="O24" s="146"/>
      <c r="P24" s="146"/>
      <c r="Q24" s="152">
        <v>0.7068600058555603</v>
      </c>
      <c r="R24" s="179"/>
    </row>
    <row r="25" spans="1:18">
      <c r="A25" s="148"/>
      <c r="B25" s="188"/>
      <c r="C25" s="188"/>
      <c r="D25" s="190"/>
      <c r="E25" s="162" t="s">
        <v>330</v>
      </c>
      <c r="F25" s="163" t="s">
        <v>167</v>
      </c>
      <c r="G25" s="163" t="s">
        <v>254</v>
      </c>
      <c r="H25" s="151">
        <v>3</v>
      </c>
      <c r="I25" s="145"/>
      <c r="J25" s="163">
        <v>0.7</v>
      </c>
      <c r="K25" s="146"/>
      <c r="L25" s="146"/>
      <c r="M25" s="146"/>
      <c r="N25" s="146"/>
      <c r="O25" s="146"/>
      <c r="P25" s="146"/>
      <c r="Q25" s="152">
        <v>0.7068600058555603</v>
      </c>
      <c r="R25" s="179"/>
    </row>
    <row r="26" spans="1:18">
      <c r="A26" s="148"/>
      <c r="B26" s="188"/>
      <c r="C26" s="188"/>
      <c r="D26" s="190"/>
      <c r="E26" s="162" t="s">
        <v>331</v>
      </c>
      <c r="F26" s="163" t="s">
        <v>167</v>
      </c>
      <c r="G26" s="163" t="s">
        <v>254</v>
      </c>
      <c r="H26" s="151">
        <v>3</v>
      </c>
      <c r="I26" s="145"/>
      <c r="J26" s="163">
        <v>0.7</v>
      </c>
      <c r="K26" s="146"/>
      <c r="L26" s="146"/>
      <c r="M26" s="146"/>
      <c r="N26" s="146"/>
      <c r="O26" s="146"/>
      <c r="P26" s="146"/>
      <c r="Q26" s="152">
        <v>0.7068600058555603</v>
      </c>
      <c r="R26" s="179"/>
    </row>
    <row r="27" spans="1:18">
      <c r="A27" s="148"/>
      <c r="B27" s="188"/>
      <c r="C27" s="188"/>
      <c r="D27" s="190"/>
      <c r="E27" s="164" t="s">
        <v>332</v>
      </c>
      <c r="F27" s="163" t="s">
        <v>164</v>
      </c>
      <c r="G27" s="163" t="s">
        <v>248</v>
      </c>
      <c r="H27" s="151">
        <v>4</v>
      </c>
      <c r="I27" s="145"/>
      <c r="J27" s="163">
        <v>0.7</v>
      </c>
      <c r="K27" s="146"/>
      <c r="L27" s="146"/>
      <c r="M27" s="146"/>
      <c r="N27" s="146"/>
      <c r="O27" s="146"/>
      <c r="P27" s="146"/>
      <c r="Q27" s="152">
        <v>0.94248002767562866</v>
      </c>
      <c r="R27" s="179"/>
    </row>
    <row r="28" spans="1:18">
      <c r="A28" s="148"/>
      <c r="B28" s="188"/>
      <c r="C28" s="188"/>
      <c r="D28" s="190"/>
      <c r="E28" s="164" t="s">
        <v>333</v>
      </c>
      <c r="F28" s="163" t="s">
        <v>164</v>
      </c>
      <c r="G28" s="163" t="s">
        <v>248</v>
      </c>
      <c r="H28" s="151">
        <v>4</v>
      </c>
      <c r="I28" s="145"/>
      <c r="J28" s="163">
        <v>0.3</v>
      </c>
      <c r="K28" s="146"/>
      <c r="L28" s="146"/>
      <c r="M28" s="146"/>
      <c r="N28" s="146"/>
      <c r="O28" s="146"/>
      <c r="P28" s="146"/>
      <c r="Q28" s="152">
        <v>0.40392002463340759</v>
      </c>
      <c r="R28" s="179"/>
    </row>
    <row r="29" spans="1:18">
      <c r="A29" s="148"/>
      <c r="B29" s="188"/>
      <c r="C29" s="188"/>
      <c r="D29" s="190"/>
      <c r="E29" s="164" t="s">
        <v>334</v>
      </c>
      <c r="F29" s="163" t="s">
        <v>164</v>
      </c>
      <c r="G29" s="163" t="s">
        <v>248</v>
      </c>
      <c r="H29" s="151">
        <v>4</v>
      </c>
      <c r="I29" s="145"/>
      <c r="J29" s="163">
        <v>0.3</v>
      </c>
      <c r="K29" s="146"/>
      <c r="L29" s="146"/>
      <c r="M29" s="146"/>
      <c r="N29" s="146"/>
      <c r="O29" s="146"/>
      <c r="P29" s="146"/>
      <c r="Q29" s="152">
        <v>0.40392002463340759</v>
      </c>
      <c r="R29" s="179"/>
    </row>
    <row r="30" spans="1:18">
      <c r="A30" s="148"/>
      <c r="B30" s="188"/>
      <c r="C30" s="188"/>
      <c r="D30" s="190"/>
      <c r="E30" s="164" t="s">
        <v>335</v>
      </c>
      <c r="F30" s="163" t="s">
        <v>164</v>
      </c>
      <c r="G30" s="163" t="s">
        <v>254</v>
      </c>
      <c r="H30" s="151">
        <v>3</v>
      </c>
      <c r="I30" s="145"/>
      <c r="J30" s="163">
        <v>0.3</v>
      </c>
      <c r="K30" s="146"/>
      <c r="L30" s="146"/>
      <c r="M30" s="146"/>
      <c r="N30" s="146"/>
      <c r="O30" s="146"/>
      <c r="P30" s="146"/>
      <c r="Q30" s="152">
        <v>0.3029400110244751</v>
      </c>
      <c r="R30" s="179"/>
    </row>
    <row r="31" spans="1:18">
      <c r="A31" s="148"/>
      <c r="B31" s="188"/>
      <c r="C31" s="188"/>
      <c r="D31" s="190"/>
      <c r="E31" s="162" t="s">
        <v>336</v>
      </c>
      <c r="F31" s="165" t="s">
        <v>164</v>
      </c>
      <c r="G31" s="165" t="s">
        <v>254</v>
      </c>
      <c r="H31" s="151">
        <v>3</v>
      </c>
      <c r="I31" s="145"/>
      <c r="J31" s="163">
        <v>0.3</v>
      </c>
      <c r="K31" s="146"/>
      <c r="L31" s="146"/>
      <c r="M31" s="146"/>
      <c r="N31" s="146"/>
      <c r="O31" s="146"/>
      <c r="P31" s="146"/>
      <c r="Q31" s="152">
        <v>0.3029400110244751</v>
      </c>
      <c r="R31" s="153"/>
    </row>
    <row r="32" spans="1:18">
      <c r="A32" s="148"/>
      <c r="B32" s="188"/>
      <c r="C32" s="188"/>
      <c r="D32" s="190"/>
      <c r="E32" s="162" t="s">
        <v>337</v>
      </c>
      <c r="F32" s="166" t="s">
        <v>289</v>
      </c>
      <c r="G32" s="166" t="s">
        <v>254</v>
      </c>
      <c r="H32" s="151">
        <v>4</v>
      </c>
      <c r="I32" s="145"/>
      <c r="J32" s="163">
        <v>0.3</v>
      </c>
      <c r="K32" s="146"/>
      <c r="L32" s="146"/>
      <c r="M32" s="146"/>
      <c r="N32" s="146"/>
      <c r="O32" s="146"/>
      <c r="P32" s="146"/>
      <c r="Q32" s="152">
        <v>0.40392002463340759</v>
      </c>
      <c r="R32" s="153"/>
    </row>
    <row r="33" spans="1:19">
      <c r="A33" s="148"/>
      <c r="B33" s="188"/>
      <c r="C33" s="188"/>
      <c r="D33" s="190"/>
      <c r="E33" s="162" t="s">
        <v>338</v>
      </c>
      <c r="F33" s="163" t="s">
        <v>164</v>
      </c>
      <c r="G33" s="163" t="s">
        <v>248</v>
      </c>
      <c r="H33" s="151">
        <v>4</v>
      </c>
      <c r="I33" s="145"/>
      <c r="J33" s="163">
        <v>0.3</v>
      </c>
      <c r="K33" s="146"/>
      <c r="L33" s="146"/>
      <c r="M33" s="146"/>
      <c r="N33" s="146"/>
      <c r="O33" s="146"/>
      <c r="P33" s="146"/>
      <c r="Q33" s="152">
        <v>0.40392002463340759</v>
      </c>
      <c r="R33" s="153"/>
    </row>
    <row r="34" spans="1:19">
      <c r="A34" s="149"/>
      <c r="B34" s="188"/>
      <c r="C34" s="188"/>
      <c r="D34" s="190"/>
      <c r="E34" s="162" t="s">
        <v>320</v>
      </c>
      <c r="F34" s="166" t="s">
        <v>164</v>
      </c>
      <c r="G34" s="166" t="s">
        <v>254</v>
      </c>
      <c r="H34" s="151">
        <v>3</v>
      </c>
      <c r="I34" s="145"/>
      <c r="J34" s="163">
        <v>0.3</v>
      </c>
      <c r="K34" s="146"/>
      <c r="L34" s="146"/>
      <c r="M34" s="146"/>
      <c r="N34" s="146"/>
      <c r="O34" s="146"/>
      <c r="P34" s="146"/>
      <c r="Q34" s="152">
        <v>0.3029400110244751</v>
      </c>
      <c r="R34" s="153"/>
    </row>
    <row r="35" spans="1:19">
      <c r="A35" s="149"/>
      <c r="B35" s="188"/>
      <c r="C35" s="188"/>
      <c r="D35" s="190"/>
      <c r="E35" s="167" t="s">
        <v>321</v>
      </c>
      <c r="F35" s="166" t="s">
        <v>164</v>
      </c>
      <c r="G35" s="166" t="s">
        <v>254</v>
      </c>
      <c r="H35" s="151">
        <v>3</v>
      </c>
      <c r="I35" s="145"/>
      <c r="J35" s="163">
        <v>0.3</v>
      </c>
      <c r="K35" s="146"/>
      <c r="L35" s="146"/>
      <c r="M35" s="146"/>
      <c r="N35" s="146"/>
      <c r="O35" s="146"/>
      <c r="P35" s="146"/>
      <c r="Q35" s="152">
        <v>0.3029400110244751</v>
      </c>
      <c r="R35" s="153"/>
    </row>
    <row r="36" spans="1:19">
      <c r="A36" s="149"/>
      <c r="B36" s="188"/>
      <c r="C36" s="188"/>
      <c r="D36" s="190"/>
      <c r="E36" s="162" t="s">
        <v>322</v>
      </c>
      <c r="F36" s="166" t="s">
        <v>164</v>
      </c>
      <c r="G36" s="166" t="s">
        <v>254</v>
      </c>
      <c r="H36" s="151">
        <v>3</v>
      </c>
      <c r="I36" s="145"/>
      <c r="J36" s="163">
        <v>0.3</v>
      </c>
      <c r="K36" s="146"/>
      <c r="L36" s="146"/>
      <c r="M36" s="146"/>
      <c r="N36" s="146"/>
      <c r="O36" s="146"/>
      <c r="P36" s="146"/>
      <c r="Q36" s="152">
        <v>0.3029400110244751</v>
      </c>
      <c r="R36" s="153"/>
    </row>
    <row r="37" spans="1:19">
      <c r="A37" s="149"/>
      <c r="B37" s="188"/>
      <c r="C37" s="188"/>
      <c r="D37" s="190"/>
      <c r="E37" s="167" t="s">
        <v>323</v>
      </c>
      <c r="F37" s="166" t="s">
        <v>164</v>
      </c>
      <c r="G37" s="166" t="s">
        <v>248</v>
      </c>
      <c r="H37" s="151">
        <v>4</v>
      </c>
      <c r="I37" s="145"/>
      <c r="J37" s="163">
        <v>0.3</v>
      </c>
      <c r="K37" s="146"/>
      <c r="L37" s="146"/>
      <c r="M37" s="146"/>
      <c r="N37" s="146"/>
      <c r="O37" s="146"/>
      <c r="P37" s="146"/>
      <c r="Q37" s="152">
        <v>0.40392002463340759</v>
      </c>
      <c r="R37" s="153"/>
    </row>
    <row r="38" spans="1:19">
      <c r="A38" s="149"/>
      <c r="B38" s="187" t="s">
        <v>324</v>
      </c>
      <c r="C38" s="187" t="s">
        <v>339</v>
      </c>
      <c r="D38" s="189"/>
      <c r="E38" s="162" t="s">
        <v>340</v>
      </c>
      <c r="F38" s="163" t="s">
        <v>167</v>
      </c>
      <c r="G38" s="163" t="s">
        <v>254</v>
      </c>
      <c r="H38" s="151">
        <v>3</v>
      </c>
      <c r="I38" s="145"/>
      <c r="J38" s="163">
        <v>0.7</v>
      </c>
      <c r="K38" s="146"/>
      <c r="L38" s="146"/>
      <c r="M38" s="146"/>
      <c r="N38" s="146"/>
      <c r="O38" s="146"/>
      <c r="P38" s="146"/>
      <c r="Q38" s="152">
        <v>0.7068600058555603</v>
      </c>
      <c r="R38" s="153"/>
    </row>
    <row r="39" spans="1:19">
      <c r="A39" s="149"/>
      <c r="B39" s="188"/>
      <c r="C39" s="188"/>
      <c r="D39" s="190"/>
      <c r="E39" s="162" t="s">
        <v>328</v>
      </c>
      <c r="F39" s="163" t="s">
        <v>167</v>
      </c>
      <c r="G39" s="163" t="s">
        <v>254</v>
      </c>
      <c r="H39" s="151">
        <v>3</v>
      </c>
      <c r="I39" s="145"/>
      <c r="J39" s="163">
        <v>0.7</v>
      </c>
      <c r="K39" s="146"/>
      <c r="L39" s="146"/>
      <c r="M39" s="146"/>
      <c r="N39" s="146"/>
      <c r="O39" s="146"/>
      <c r="P39" s="146"/>
      <c r="Q39" s="152">
        <v>0.7068600058555603</v>
      </c>
      <c r="R39" s="153"/>
    </row>
    <row r="40" spans="1:19">
      <c r="A40" s="149"/>
      <c r="B40" s="188"/>
      <c r="C40" s="188"/>
      <c r="D40" s="190"/>
      <c r="E40" s="162" t="s">
        <v>341</v>
      </c>
      <c r="F40" s="163" t="s">
        <v>167</v>
      </c>
      <c r="G40" s="163" t="s">
        <v>254</v>
      </c>
      <c r="H40" s="151">
        <v>3</v>
      </c>
      <c r="I40" s="145"/>
      <c r="J40" s="163">
        <v>0.7</v>
      </c>
      <c r="K40" s="146"/>
      <c r="L40" s="146"/>
      <c r="M40" s="146"/>
      <c r="N40" s="146"/>
      <c r="O40" s="146"/>
      <c r="P40" s="146"/>
      <c r="Q40" s="152">
        <v>0.7068600058555603</v>
      </c>
      <c r="R40" s="153"/>
    </row>
    <row r="41" spans="1:19">
      <c r="A41" s="149"/>
      <c r="B41" s="188"/>
      <c r="C41" s="188"/>
      <c r="D41" s="190"/>
      <c r="E41" s="162" t="s">
        <v>342</v>
      </c>
      <c r="F41" s="163" t="s">
        <v>164</v>
      </c>
      <c r="G41" s="163" t="s">
        <v>254</v>
      </c>
      <c r="H41" s="151">
        <v>3</v>
      </c>
      <c r="I41" s="145"/>
      <c r="J41" s="163">
        <v>0.7</v>
      </c>
      <c r="K41" s="146"/>
      <c r="L41" s="146"/>
      <c r="M41" s="146"/>
      <c r="N41" s="146"/>
      <c r="O41" s="146"/>
      <c r="P41" s="146"/>
      <c r="Q41" s="152">
        <v>0.7068600058555603</v>
      </c>
      <c r="R41" s="153"/>
    </row>
    <row r="42" spans="1:19" ht="14.25">
      <c r="A42" s="149"/>
      <c r="B42" s="188"/>
      <c r="C42" s="188"/>
      <c r="D42" s="190"/>
      <c r="E42" s="162" t="s">
        <v>343</v>
      </c>
      <c r="F42" s="163" t="s">
        <v>164</v>
      </c>
      <c r="G42" s="163" t="s">
        <v>254</v>
      </c>
      <c r="H42" s="151">
        <v>3</v>
      </c>
      <c r="I42" s="145"/>
      <c r="J42" s="163">
        <v>0.7</v>
      </c>
      <c r="K42" s="146"/>
      <c r="L42" s="146"/>
      <c r="M42" s="146"/>
      <c r="N42" s="146"/>
      <c r="O42" s="146"/>
      <c r="P42" s="146"/>
      <c r="Q42" s="152">
        <v>0.7068600058555603</v>
      </c>
      <c r="S42" s="157"/>
    </row>
    <row r="43" spans="1:19" ht="14.25">
      <c r="A43" s="149"/>
      <c r="B43" s="188"/>
      <c r="C43" s="188"/>
      <c r="D43" s="190"/>
      <c r="E43" s="162" t="s">
        <v>344</v>
      </c>
      <c r="F43" s="163" t="s">
        <v>164</v>
      </c>
      <c r="G43" s="163" t="s">
        <v>254</v>
      </c>
      <c r="H43" s="151">
        <v>3</v>
      </c>
      <c r="I43" s="145"/>
      <c r="J43" s="163">
        <v>0.7</v>
      </c>
      <c r="K43" s="146"/>
      <c r="L43" s="146"/>
      <c r="M43" s="146"/>
      <c r="N43" s="146"/>
      <c r="O43" s="146"/>
      <c r="P43" s="146"/>
      <c r="Q43" s="152">
        <v>0.7068600058555603</v>
      </c>
      <c r="S43" s="158"/>
    </row>
    <row r="44" spans="1:19">
      <c r="A44" s="149"/>
      <c r="B44" s="188"/>
      <c r="C44" s="188"/>
      <c r="D44" s="190"/>
      <c r="E44" s="164" t="s">
        <v>332</v>
      </c>
      <c r="F44" s="163" t="s">
        <v>164</v>
      </c>
      <c r="G44" s="163" t="s">
        <v>248</v>
      </c>
      <c r="H44" s="151">
        <v>4</v>
      </c>
      <c r="I44" s="145"/>
      <c r="J44" s="163">
        <v>0.3</v>
      </c>
      <c r="K44" s="146"/>
      <c r="L44" s="146"/>
      <c r="M44" s="146"/>
      <c r="N44" s="146"/>
      <c r="O44" s="146"/>
      <c r="P44" s="146"/>
      <c r="Q44" s="152">
        <v>0.40392002463340759</v>
      </c>
    </row>
    <row r="45" spans="1:19">
      <c r="A45" s="149"/>
      <c r="B45" s="188"/>
      <c r="C45" s="188"/>
      <c r="D45" s="190"/>
      <c r="E45" s="164" t="s">
        <v>333</v>
      </c>
      <c r="F45" s="163" t="s">
        <v>164</v>
      </c>
      <c r="G45" s="163" t="s">
        <v>248</v>
      </c>
      <c r="H45" s="151">
        <v>4</v>
      </c>
      <c r="I45" s="145"/>
      <c r="J45" s="163">
        <v>0.3</v>
      </c>
      <c r="K45" s="146"/>
      <c r="L45" s="146"/>
      <c r="M45" s="146"/>
      <c r="N45" s="146"/>
      <c r="O45" s="146"/>
      <c r="P45" s="146"/>
      <c r="Q45" s="152">
        <v>0.40392002463340759</v>
      </c>
    </row>
    <row r="46" spans="1:19">
      <c r="A46" s="149"/>
      <c r="B46" s="188"/>
      <c r="C46" s="188"/>
      <c r="D46" s="190"/>
      <c r="E46" s="164" t="s">
        <v>334</v>
      </c>
      <c r="F46" s="163" t="s">
        <v>164</v>
      </c>
      <c r="G46" s="163" t="s">
        <v>248</v>
      </c>
      <c r="H46" s="151">
        <v>4</v>
      </c>
      <c r="I46" s="145"/>
      <c r="J46" s="163">
        <v>0.3</v>
      </c>
      <c r="K46" s="146"/>
      <c r="L46" s="146"/>
      <c r="M46" s="146"/>
      <c r="N46" s="146"/>
      <c r="O46" s="146"/>
      <c r="P46" s="146"/>
      <c r="Q46" s="152">
        <v>0.40392002463340759</v>
      </c>
    </row>
    <row r="47" spans="1:19">
      <c r="A47" s="149"/>
      <c r="B47" s="188"/>
      <c r="C47" s="188"/>
      <c r="D47" s="190"/>
      <c r="E47" s="164" t="s">
        <v>335</v>
      </c>
      <c r="F47" s="163" t="s">
        <v>164</v>
      </c>
      <c r="G47" s="163" t="s">
        <v>254</v>
      </c>
      <c r="H47" s="151">
        <v>3</v>
      </c>
      <c r="I47" s="145"/>
      <c r="J47" s="163">
        <v>0.3</v>
      </c>
      <c r="K47" s="146"/>
      <c r="L47" s="146"/>
      <c r="M47" s="146"/>
      <c r="N47" s="146"/>
      <c r="O47" s="146"/>
      <c r="P47" s="146"/>
      <c r="Q47" s="152">
        <v>0.3029400110244751</v>
      </c>
    </row>
    <row r="48" spans="1:19">
      <c r="A48" s="149"/>
      <c r="B48" s="188"/>
      <c r="C48" s="188"/>
      <c r="D48" s="190"/>
      <c r="E48" s="162" t="s">
        <v>336</v>
      </c>
      <c r="F48" s="165" t="s">
        <v>164</v>
      </c>
      <c r="G48" s="165" t="s">
        <v>254</v>
      </c>
      <c r="H48" s="151">
        <v>3</v>
      </c>
      <c r="I48" s="145"/>
      <c r="J48" s="163">
        <v>0.3</v>
      </c>
      <c r="K48" s="146"/>
      <c r="L48" s="146"/>
      <c r="M48" s="146"/>
      <c r="N48" s="146"/>
      <c r="O48" s="146"/>
      <c r="P48" s="146"/>
      <c r="Q48" s="152">
        <v>0.3029400110244751</v>
      </c>
    </row>
    <row r="49" spans="1:17">
      <c r="A49" s="149"/>
      <c r="B49" s="188"/>
      <c r="C49" s="188"/>
      <c r="D49" s="190"/>
      <c r="E49" s="162" t="s">
        <v>337</v>
      </c>
      <c r="F49" s="166" t="s">
        <v>289</v>
      </c>
      <c r="G49" s="166" t="s">
        <v>254</v>
      </c>
      <c r="H49" s="151">
        <v>4</v>
      </c>
      <c r="I49" s="145"/>
      <c r="J49" s="163">
        <v>0.3</v>
      </c>
      <c r="K49" s="146"/>
      <c r="L49" s="146"/>
      <c r="M49" s="146"/>
      <c r="N49" s="146"/>
      <c r="O49" s="146"/>
      <c r="P49" s="146"/>
      <c r="Q49" s="152">
        <v>0.40392002463340759</v>
      </c>
    </row>
    <row r="50" spans="1:17">
      <c r="A50" s="149"/>
      <c r="B50" s="188"/>
      <c r="C50" s="188"/>
      <c r="D50" s="190"/>
      <c r="E50" s="162" t="s">
        <v>338</v>
      </c>
      <c r="F50" s="163" t="s">
        <v>164</v>
      </c>
      <c r="G50" s="163" t="s">
        <v>248</v>
      </c>
      <c r="H50" s="151">
        <v>4</v>
      </c>
      <c r="I50" s="145"/>
      <c r="J50" s="163">
        <v>0.3</v>
      </c>
      <c r="K50" s="146"/>
      <c r="L50" s="146"/>
      <c r="M50" s="146"/>
      <c r="N50" s="146"/>
      <c r="O50" s="146"/>
      <c r="P50" s="146"/>
      <c r="Q50" s="152">
        <v>0.40392002463340759</v>
      </c>
    </row>
    <row r="51" spans="1:17">
      <c r="A51" s="149"/>
      <c r="B51" s="188"/>
      <c r="C51" s="188"/>
      <c r="D51" s="190"/>
      <c r="E51" s="162" t="s">
        <v>320</v>
      </c>
      <c r="F51" s="166" t="s">
        <v>164</v>
      </c>
      <c r="G51" s="166" t="s">
        <v>254</v>
      </c>
      <c r="H51" s="151">
        <v>3</v>
      </c>
      <c r="I51" s="145"/>
      <c r="J51" s="163">
        <v>0.3</v>
      </c>
      <c r="K51" s="146"/>
      <c r="L51" s="146"/>
      <c r="M51" s="146"/>
      <c r="N51" s="146"/>
      <c r="O51" s="146"/>
      <c r="P51" s="146"/>
      <c r="Q51" s="152">
        <v>0.3029400110244751</v>
      </c>
    </row>
    <row r="52" spans="1:17">
      <c r="A52" s="149"/>
      <c r="B52" s="188"/>
      <c r="C52" s="188"/>
      <c r="D52" s="190"/>
      <c r="E52" s="167" t="s">
        <v>321</v>
      </c>
      <c r="F52" s="166" t="s">
        <v>164</v>
      </c>
      <c r="G52" s="166" t="s">
        <v>254</v>
      </c>
      <c r="H52" s="151">
        <v>3</v>
      </c>
      <c r="I52" s="145"/>
      <c r="J52" s="163">
        <v>0.3</v>
      </c>
      <c r="K52" s="146"/>
      <c r="L52" s="146"/>
      <c r="M52" s="146"/>
      <c r="N52" s="146"/>
      <c r="O52" s="146"/>
      <c r="P52" s="146"/>
      <c r="Q52" s="152">
        <v>0.3029400110244751</v>
      </c>
    </row>
    <row r="53" spans="1:17">
      <c r="A53" s="149"/>
      <c r="B53" s="188"/>
      <c r="C53" s="188"/>
      <c r="D53" s="190"/>
      <c r="E53" s="162" t="s">
        <v>322</v>
      </c>
      <c r="F53" s="166" t="s">
        <v>164</v>
      </c>
      <c r="G53" s="166" t="s">
        <v>254</v>
      </c>
      <c r="H53" s="151">
        <v>3</v>
      </c>
      <c r="I53" s="145"/>
      <c r="J53" s="163">
        <v>0.3</v>
      </c>
      <c r="K53" s="146"/>
      <c r="L53" s="146"/>
      <c r="M53" s="146"/>
      <c r="N53" s="146"/>
      <c r="O53" s="146"/>
      <c r="P53" s="146"/>
      <c r="Q53" s="152">
        <v>0.3029400110244751</v>
      </c>
    </row>
    <row r="54" spans="1:17">
      <c r="A54" s="149"/>
      <c r="B54" s="188"/>
      <c r="C54" s="188"/>
      <c r="D54" s="190"/>
      <c r="E54" s="167" t="s">
        <v>323</v>
      </c>
      <c r="F54" s="166" t="s">
        <v>164</v>
      </c>
      <c r="G54" s="166" t="s">
        <v>248</v>
      </c>
      <c r="H54" s="151">
        <v>4</v>
      </c>
      <c r="I54" s="145"/>
      <c r="J54" s="163">
        <v>0.3</v>
      </c>
      <c r="K54" s="146"/>
      <c r="L54" s="146"/>
      <c r="M54" s="146"/>
      <c r="N54" s="146"/>
      <c r="O54" s="146"/>
      <c r="P54" s="146"/>
      <c r="Q54" s="152">
        <v>0.40392002463340759</v>
      </c>
    </row>
    <row r="55" spans="1:17">
      <c r="A55" s="149"/>
      <c r="B55" s="187" t="s">
        <v>324</v>
      </c>
      <c r="C55" s="187" t="s">
        <v>345</v>
      </c>
      <c r="D55" s="189"/>
      <c r="E55" s="162" t="s">
        <v>340</v>
      </c>
      <c r="F55" s="163" t="s">
        <v>167</v>
      </c>
      <c r="G55" s="163" t="s">
        <v>254</v>
      </c>
      <c r="H55" s="151">
        <v>3</v>
      </c>
      <c r="I55" s="145"/>
      <c r="J55" s="163">
        <v>0.7</v>
      </c>
      <c r="K55" s="146"/>
      <c r="L55" s="146"/>
      <c r="M55" s="146"/>
      <c r="N55" s="146"/>
      <c r="O55" s="146"/>
      <c r="P55" s="146"/>
      <c r="Q55" s="152">
        <v>0.7068600058555603</v>
      </c>
    </row>
    <row r="56" spans="1:17">
      <c r="A56" s="149"/>
      <c r="B56" s="188"/>
      <c r="C56" s="188"/>
      <c r="D56" s="190"/>
      <c r="E56" s="162" t="s">
        <v>346</v>
      </c>
      <c r="F56" s="163" t="s">
        <v>167</v>
      </c>
      <c r="G56" s="163" t="s">
        <v>254</v>
      </c>
      <c r="H56" s="151">
        <v>3</v>
      </c>
      <c r="I56" s="145"/>
      <c r="J56" s="163">
        <v>0.7</v>
      </c>
      <c r="K56" s="146"/>
      <c r="L56" s="146"/>
      <c r="M56" s="146"/>
      <c r="N56" s="146"/>
      <c r="O56" s="146"/>
      <c r="P56" s="146"/>
      <c r="Q56" s="152">
        <v>0.7068600058555603</v>
      </c>
    </row>
    <row r="57" spans="1:17">
      <c r="A57" s="149"/>
      <c r="B57" s="188"/>
      <c r="C57" s="188"/>
      <c r="D57" s="190"/>
      <c r="E57" s="162" t="s">
        <v>328</v>
      </c>
      <c r="F57" s="163" t="s">
        <v>167</v>
      </c>
      <c r="G57" s="163" t="s">
        <v>254</v>
      </c>
      <c r="H57" s="151">
        <v>3</v>
      </c>
      <c r="I57" s="145"/>
      <c r="J57" s="163">
        <v>0.7</v>
      </c>
      <c r="K57" s="146"/>
      <c r="L57" s="146"/>
      <c r="M57" s="146"/>
      <c r="N57" s="146"/>
      <c r="O57" s="146"/>
      <c r="P57" s="146"/>
      <c r="Q57" s="152">
        <v>0.7068600058555603</v>
      </c>
    </row>
    <row r="58" spans="1:17">
      <c r="A58" s="149"/>
      <c r="B58" s="188"/>
      <c r="C58" s="188"/>
      <c r="D58" s="190"/>
      <c r="E58" s="162" t="s">
        <v>341</v>
      </c>
      <c r="F58" s="163" t="s">
        <v>167</v>
      </c>
      <c r="G58" s="163" t="s">
        <v>254</v>
      </c>
      <c r="H58" s="151">
        <v>3</v>
      </c>
      <c r="I58" s="145"/>
      <c r="J58" s="163">
        <v>0.7</v>
      </c>
      <c r="K58" s="146"/>
      <c r="L58" s="146"/>
      <c r="M58" s="146"/>
      <c r="N58" s="146"/>
      <c r="O58" s="146"/>
      <c r="P58" s="146"/>
      <c r="Q58" s="152">
        <v>0.7068600058555603</v>
      </c>
    </row>
    <row r="59" spans="1:17">
      <c r="A59" s="149"/>
      <c r="B59" s="188"/>
      <c r="C59" s="188"/>
      <c r="D59" s="190"/>
      <c r="E59" s="162" t="s">
        <v>342</v>
      </c>
      <c r="F59" s="163" t="s">
        <v>164</v>
      </c>
      <c r="G59" s="163" t="s">
        <v>254</v>
      </c>
      <c r="H59" s="151">
        <v>3</v>
      </c>
      <c r="I59" s="145"/>
      <c r="J59" s="163">
        <v>0.7</v>
      </c>
      <c r="K59" s="146"/>
      <c r="L59" s="146"/>
      <c r="M59" s="146"/>
      <c r="N59" s="146"/>
      <c r="O59" s="146"/>
      <c r="P59" s="146"/>
      <c r="Q59" s="152">
        <v>0.7068600058555603</v>
      </c>
    </row>
    <row r="60" spans="1:17">
      <c r="A60" s="149"/>
      <c r="B60" s="188"/>
      <c r="C60" s="188"/>
      <c r="D60" s="190"/>
      <c r="E60" s="162" t="s">
        <v>343</v>
      </c>
      <c r="F60" s="163" t="s">
        <v>164</v>
      </c>
      <c r="G60" s="163" t="s">
        <v>254</v>
      </c>
      <c r="H60" s="151">
        <v>3</v>
      </c>
      <c r="I60" s="145"/>
      <c r="J60" s="163">
        <v>0.7</v>
      </c>
      <c r="K60" s="146"/>
      <c r="L60" s="146"/>
      <c r="M60" s="146"/>
      <c r="N60" s="146"/>
      <c r="O60" s="146"/>
      <c r="P60" s="146"/>
      <c r="Q60" s="152">
        <v>0.7068600058555603</v>
      </c>
    </row>
    <row r="61" spans="1:17">
      <c r="A61" s="149"/>
      <c r="B61" s="188"/>
      <c r="C61" s="188"/>
      <c r="D61" s="190"/>
      <c r="E61" s="164" t="s">
        <v>332</v>
      </c>
      <c r="F61" s="163" t="s">
        <v>164</v>
      </c>
      <c r="G61" s="163" t="s">
        <v>248</v>
      </c>
      <c r="H61" s="151">
        <v>4</v>
      </c>
      <c r="I61" s="145"/>
      <c r="J61" s="163">
        <v>0.3</v>
      </c>
      <c r="K61" s="146"/>
      <c r="L61" s="146"/>
      <c r="M61" s="146"/>
      <c r="N61" s="146"/>
      <c r="O61" s="146"/>
      <c r="P61" s="146"/>
      <c r="Q61" s="152">
        <v>0.40392002463340759</v>
      </c>
    </row>
    <row r="62" spans="1:17">
      <c r="A62" s="149"/>
      <c r="B62" s="188"/>
      <c r="C62" s="188"/>
      <c r="D62" s="190"/>
      <c r="E62" s="164" t="s">
        <v>333</v>
      </c>
      <c r="F62" s="163" t="s">
        <v>164</v>
      </c>
      <c r="G62" s="163" t="s">
        <v>248</v>
      </c>
      <c r="H62" s="151">
        <v>4</v>
      </c>
      <c r="I62" s="145"/>
      <c r="J62" s="163">
        <v>0.3</v>
      </c>
      <c r="K62" s="146"/>
      <c r="L62" s="146"/>
      <c r="M62" s="146"/>
      <c r="N62" s="146"/>
      <c r="O62" s="146"/>
      <c r="P62" s="146"/>
      <c r="Q62" s="152">
        <v>0.40392002463340759</v>
      </c>
    </row>
    <row r="63" spans="1:17">
      <c r="A63" s="149"/>
      <c r="B63" s="188"/>
      <c r="C63" s="188"/>
      <c r="D63" s="190"/>
      <c r="E63" s="164" t="s">
        <v>334</v>
      </c>
      <c r="F63" s="163" t="s">
        <v>164</v>
      </c>
      <c r="G63" s="163" t="s">
        <v>248</v>
      </c>
      <c r="H63" s="151">
        <v>4</v>
      </c>
      <c r="I63" s="145"/>
      <c r="J63" s="163">
        <v>0.3</v>
      </c>
      <c r="K63" s="146"/>
      <c r="L63" s="146"/>
      <c r="M63" s="146"/>
      <c r="N63" s="146"/>
      <c r="O63" s="146"/>
      <c r="P63" s="146"/>
      <c r="Q63" s="152">
        <v>0.40392002463340759</v>
      </c>
    </row>
    <row r="64" spans="1:17">
      <c r="A64" s="149"/>
      <c r="B64" s="188"/>
      <c r="C64" s="188"/>
      <c r="D64" s="190"/>
      <c r="E64" s="164" t="s">
        <v>335</v>
      </c>
      <c r="F64" s="163" t="s">
        <v>164</v>
      </c>
      <c r="G64" s="163" t="s">
        <v>254</v>
      </c>
      <c r="H64" s="151">
        <v>3</v>
      </c>
      <c r="I64" s="145"/>
      <c r="J64" s="163">
        <v>0.3</v>
      </c>
      <c r="K64" s="146"/>
      <c r="L64" s="146"/>
      <c r="M64" s="146"/>
      <c r="N64" s="146"/>
      <c r="O64" s="146"/>
      <c r="P64" s="146"/>
      <c r="Q64" s="152">
        <v>0.3029400110244751</v>
      </c>
    </row>
    <row r="65" spans="1:17">
      <c r="A65" s="149"/>
      <c r="B65" s="188"/>
      <c r="C65" s="188"/>
      <c r="D65" s="190"/>
      <c r="E65" s="162" t="s">
        <v>336</v>
      </c>
      <c r="F65" s="165" t="s">
        <v>164</v>
      </c>
      <c r="G65" s="165" t="s">
        <v>254</v>
      </c>
      <c r="H65" s="151">
        <v>3</v>
      </c>
      <c r="I65" s="145"/>
      <c r="J65" s="163">
        <v>0.3</v>
      </c>
      <c r="K65" s="146"/>
      <c r="L65" s="146"/>
      <c r="M65" s="146"/>
      <c r="N65" s="146"/>
      <c r="O65" s="146"/>
      <c r="P65" s="146"/>
      <c r="Q65" s="152">
        <v>0.3029400110244751</v>
      </c>
    </row>
    <row r="66" spans="1:17">
      <c r="A66" s="149"/>
      <c r="B66" s="188"/>
      <c r="C66" s="188"/>
      <c r="D66" s="190"/>
      <c r="E66" s="162" t="s">
        <v>337</v>
      </c>
      <c r="F66" s="166" t="s">
        <v>289</v>
      </c>
      <c r="G66" s="166" t="s">
        <v>254</v>
      </c>
      <c r="H66" s="151">
        <v>4</v>
      </c>
      <c r="I66" s="145"/>
      <c r="J66" s="163">
        <v>0.3</v>
      </c>
      <c r="K66" s="146"/>
      <c r="L66" s="146"/>
      <c r="M66" s="146"/>
      <c r="N66" s="146"/>
      <c r="O66" s="146"/>
      <c r="P66" s="146"/>
      <c r="Q66" s="152">
        <v>0.40392002463340759</v>
      </c>
    </row>
    <row r="67" spans="1:17">
      <c r="A67" s="149"/>
      <c r="B67" s="188"/>
      <c r="C67" s="188"/>
      <c r="D67" s="190"/>
      <c r="E67" s="162" t="s">
        <v>338</v>
      </c>
      <c r="F67" s="163" t="s">
        <v>164</v>
      </c>
      <c r="G67" s="163" t="s">
        <v>248</v>
      </c>
      <c r="H67" s="151">
        <v>4</v>
      </c>
      <c r="I67" s="145"/>
      <c r="J67" s="163">
        <v>0.3</v>
      </c>
      <c r="K67" s="146"/>
      <c r="L67" s="146"/>
      <c r="M67" s="146"/>
      <c r="N67" s="146"/>
      <c r="O67" s="146"/>
      <c r="P67" s="146"/>
      <c r="Q67" s="152">
        <v>0.40392002463340759</v>
      </c>
    </row>
    <row r="68" spans="1:17">
      <c r="A68" s="149"/>
      <c r="B68" s="188"/>
      <c r="C68" s="188"/>
      <c r="D68" s="190"/>
      <c r="E68" s="162" t="s">
        <v>320</v>
      </c>
      <c r="F68" s="166" t="s">
        <v>164</v>
      </c>
      <c r="G68" s="166" t="s">
        <v>254</v>
      </c>
      <c r="H68" s="151">
        <v>3</v>
      </c>
      <c r="I68" s="145"/>
      <c r="J68" s="163">
        <v>0.3</v>
      </c>
      <c r="K68" s="146"/>
      <c r="L68" s="146"/>
      <c r="M68" s="146"/>
      <c r="N68" s="146"/>
      <c r="O68" s="146"/>
      <c r="P68" s="146"/>
      <c r="Q68" s="152">
        <v>0.3029400110244751</v>
      </c>
    </row>
    <row r="69" spans="1:17">
      <c r="A69" s="149"/>
      <c r="B69" s="188"/>
      <c r="C69" s="188"/>
      <c r="D69" s="190"/>
      <c r="E69" s="167" t="s">
        <v>321</v>
      </c>
      <c r="F69" s="166" t="s">
        <v>164</v>
      </c>
      <c r="G69" s="166" t="s">
        <v>254</v>
      </c>
      <c r="H69" s="151">
        <v>3</v>
      </c>
      <c r="I69" s="145"/>
      <c r="J69" s="163">
        <v>0.3</v>
      </c>
      <c r="K69" s="146"/>
      <c r="L69" s="146"/>
      <c r="M69" s="146"/>
      <c r="N69" s="146"/>
      <c r="O69" s="146"/>
      <c r="P69" s="146"/>
      <c r="Q69" s="152">
        <v>0.3029400110244751</v>
      </c>
    </row>
    <row r="70" spans="1:17">
      <c r="A70" s="149"/>
      <c r="B70" s="188"/>
      <c r="C70" s="188"/>
      <c r="D70" s="190"/>
      <c r="E70" s="162" t="s">
        <v>322</v>
      </c>
      <c r="F70" s="166" t="s">
        <v>164</v>
      </c>
      <c r="G70" s="166" t="s">
        <v>254</v>
      </c>
      <c r="H70" s="151">
        <v>3</v>
      </c>
      <c r="I70" s="145"/>
      <c r="J70" s="163">
        <v>0.3</v>
      </c>
      <c r="K70" s="146"/>
      <c r="L70" s="146"/>
      <c r="M70" s="146"/>
      <c r="N70" s="146"/>
      <c r="O70" s="146"/>
      <c r="P70" s="146"/>
      <c r="Q70" s="152">
        <v>0.3029400110244751</v>
      </c>
    </row>
    <row r="71" spans="1:17">
      <c r="A71" s="149"/>
      <c r="B71" s="188"/>
      <c r="C71" s="188"/>
      <c r="D71" s="190"/>
      <c r="E71" s="167" t="s">
        <v>323</v>
      </c>
      <c r="F71" s="166" t="s">
        <v>164</v>
      </c>
      <c r="G71" s="166" t="s">
        <v>248</v>
      </c>
      <c r="H71" s="151">
        <v>4</v>
      </c>
      <c r="I71" s="145"/>
      <c r="J71" s="163">
        <v>0.3</v>
      </c>
      <c r="K71" s="146"/>
      <c r="L71" s="146"/>
      <c r="M71" s="146"/>
      <c r="N71" s="146"/>
      <c r="O71" s="146"/>
      <c r="P71" s="146"/>
      <c r="Q71" s="152">
        <v>0.40392002463340759</v>
      </c>
    </row>
    <row r="72" spans="1:17">
      <c r="A72" s="149"/>
      <c r="B72" s="149"/>
      <c r="C72" s="149"/>
      <c r="D72" s="155"/>
      <c r="E72" s="150"/>
      <c r="F72" s="151"/>
      <c r="G72" s="151"/>
      <c r="H72" s="151"/>
      <c r="I72" s="145"/>
      <c r="J72" s="146"/>
      <c r="K72" s="146"/>
      <c r="L72" s="146"/>
      <c r="M72" s="146"/>
      <c r="N72" s="146"/>
      <c r="O72" s="146"/>
      <c r="P72" s="146"/>
      <c r="Q72" s="152"/>
    </row>
    <row r="73" spans="1:17">
      <c r="A73" s="149"/>
      <c r="B73" s="149"/>
      <c r="C73" s="149"/>
      <c r="D73" s="155"/>
      <c r="E73" s="154"/>
      <c r="F73" s="151"/>
      <c r="G73" s="151"/>
      <c r="H73" s="151"/>
      <c r="I73" s="145"/>
      <c r="J73" s="146"/>
      <c r="K73" s="146"/>
      <c r="L73" s="146"/>
      <c r="M73" s="146"/>
      <c r="N73" s="146"/>
      <c r="O73" s="146"/>
      <c r="P73" s="146"/>
      <c r="Q73" s="152"/>
    </row>
    <row r="74" spans="1:17">
      <c r="A74" s="149"/>
      <c r="B74" s="149"/>
      <c r="C74" s="149"/>
      <c r="D74" s="155"/>
      <c r="E74" s="154"/>
      <c r="F74" s="151"/>
      <c r="G74" s="151"/>
      <c r="H74" s="151"/>
      <c r="I74" s="145"/>
      <c r="J74" s="146"/>
      <c r="K74" s="146"/>
      <c r="L74" s="146"/>
      <c r="M74" s="146"/>
      <c r="N74" s="146"/>
      <c r="O74" s="146"/>
      <c r="P74" s="146"/>
      <c r="Q74" s="152"/>
    </row>
    <row r="75" spans="1:17">
      <c r="A75" s="149"/>
      <c r="B75" s="149"/>
      <c r="C75" s="149"/>
      <c r="D75" s="155"/>
      <c r="E75" s="154"/>
      <c r="F75" s="151"/>
      <c r="G75" s="151"/>
      <c r="H75" s="151"/>
      <c r="I75" s="145"/>
      <c r="J75" s="146"/>
      <c r="K75" s="146"/>
      <c r="L75" s="146"/>
      <c r="M75" s="146"/>
      <c r="N75" s="146"/>
      <c r="O75" s="146"/>
      <c r="P75" s="146"/>
      <c r="Q75" s="152"/>
    </row>
    <row r="76" spans="1:17">
      <c r="A76" s="149"/>
      <c r="B76" s="149"/>
      <c r="C76" s="149"/>
      <c r="D76" s="155"/>
      <c r="E76" s="154"/>
      <c r="F76" s="151"/>
      <c r="G76" s="151"/>
      <c r="H76" s="151"/>
      <c r="I76" s="145"/>
      <c r="J76" s="146"/>
      <c r="K76" s="146"/>
      <c r="L76" s="146"/>
      <c r="M76" s="146"/>
      <c r="N76" s="146"/>
      <c r="O76" s="146"/>
      <c r="P76" s="146"/>
      <c r="Q76" s="152"/>
    </row>
    <row r="77" spans="1:17">
      <c r="A77" s="149"/>
      <c r="B77" s="149"/>
      <c r="C77" s="149"/>
      <c r="D77" s="155"/>
      <c r="E77" s="154"/>
      <c r="F77" s="151"/>
      <c r="G77" s="151"/>
      <c r="H77" s="151"/>
      <c r="I77" s="145"/>
      <c r="J77" s="146"/>
      <c r="K77" s="146"/>
      <c r="L77" s="146"/>
      <c r="M77" s="146"/>
      <c r="N77" s="146"/>
      <c r="O77" s="146"/>
      <c r="P77" s="146"/>
      <c r="Q77" s="152"/>
    </row>
    <row r="78" spans="1:17">
      <c r="A78" s="149"/>
      <c r="B78" s="148"/>
      <c r="C78" s="149"/>
      <c r="D78" s="155"/>
      <c r="E78" s="154"/>
      <c r="F78" s="151"/>
      <c r="G78" s="151"/>
      <c r="H78" s="151"/>
      <c r="I78" s="145"/>
      <c r="J78" s="146"/>
      <c r="K78" s="146"/>
      <c r="L78" s="146"/>
      <c r="M78" s="146"/>
      <c r="N78" s="146"/>
      <c r="O78" s="146"/>
      <c r="P78" s="146"/>
      <c r="Q78" s="152"/>
    </row>
    <row r="79" spans="1:17">
      <c r="A79" s="149"/>
      <c r="B79" s="149"/>
      <c r="C79" s="149"/>
      <c r="D79" s="155"/>
      <c r="E79" s="150"/>
      <c r="F79" s="151"/>
      <c r="G79" s="151"/>
      <c r="H79" s="151"/>
      <c r="I79" s="145"/>
      <c r="J79" s="146"/>
      <c r="K79" s="146"/>
      <c r="L79" s="146"/>
      <c r="M79" s="146"/>
      <c r="N79" s="146"/>
      <c r="O79" s="146"/>
      <c r="P79" s="146"/>
      <c r="Q79" s="152"/>
    </row>
    <row r="80" spans="1:17">
      <c r="A80" s="149"/>
      <c r="B80" s="149"/>
      <c r="C80" s="149"/>
      <c r="D80" s="155"/>
      <c r="E80" s="150"/>
      <c r="F80" s="151"/>
      <c r="G80" s="151"/>
      <c r="H80" s="151"/>
      <c r="I80" s="145"/>
      <c r="J80" s="146"/>
      <c r="K80" s="146"/>
      <c r="L80" s="146"/>
      <c r="M80" s="146"/>
      <c r="N80" s="146"/>
      <c r="O80" s="146"/>
      <c r="P80" s="146"/>
      <c r="Q80" s="152"/>
    </row>
    <row r="81" spans="1:17">
      <c r="A81" s="149"/>
      <c r="B81" s="149"/>
      <c r="C81" s="149"/>
      <c r="D81" s="155"/>
      <c r="E81" s="154"/>
      <c r="F81" s="151"/>
      <c r="G81" s="151"/>
      <c r="H81" s="151"/>
      <c r="I81" s="145"/>
      <c r="J81" s="146"/>
      <c r="K81" s="146"/>
      <c r="L81" s="146"/>
      <c r="M81" s="146"/>
      <c r="N81" s="146"/>
      <c r="O81" s="146"/>
      <c r="P81" s="146"/>
      <c r="Q81" s="152"/>
    </row>
    <row r="82" spans="1:17">
      <c r="A82" s="149"/>
      <c r="B82" s="149"/>
      <c r="C82" s="149"/>
      <c r="D82" s="155"/>
      <c r="E82" s="154"/>
      <c r="F82" s="151"/>
      <c r="G82" s="151"/>
      <c r="H82" s="151"/>
      <c r="I82" s="145"/>
      <c r="J82" s="146"/>
      <c r="K82" s="146"/>
      <c r="L82" s="146"/>
      <c r="M82" s="146"/>
      <c r="N82" s="146"/>
      <c r="O82" s="146"/>
      <c r="P82" s="146"/>
      <c r="Q82" s="152"/>
    </row>
    <row r="83" spans="1:17">
      <c r="A83" s="149"/>
      <c r="B83" s="148"/>
      <c r="C83" s="149"/>
      <c r="D83" s="155"/>
      <c r="E83" s="154"/>
      <c r="F83" s="151"/>
      <c r="G83" s="151"/>
      <c r="H83" s="151"/>
      <c r="I83" s="145"/>
      <c r="J83" s="146"/>
      <c r="K83" s="146"/>
      <c r="L83" s="146"/>
      <c r="M83" s="146"/>
      <c r="N83" s="146"/>
      <c r="O83" s="146"/>
      <c r="P83" s="146"/>
      <c r="Q83" s="152"/>
    </row>
    <row r="84" spans="1:17">
      <c r="A84" s="149"/>
      <c r="B84" s="149"/>
      <c r="C84" s="149"/>
      <c r="D84" s="155"/>
      <c r="E84" s="150"/>
      <c r="F84" s="151"/>
      <c r="G84" s="151"/>
      <c r="H84" s="151"/>
      <c r="I84" s="145"/>
      <c r="J84" s="146"/>
      <c r="K84" s="146"/>
      <c r="L84" s="146"/>
      <c r="M84" s="146"/>
      <c r="N84" s="146"/>
      <c r="O84" s="146"/>
      <c r="P84" s="146"/>
      <c r="Q84" s="152"/>
    </row>
    <row r="85" spans="1:17">
      <c r="A85" s="149"/>
      <c r="B85" s="149"/>
      <c r="C85" s="149"/>
      <c r="D85" s="155"/>
      <c r="E85" s="150"/>
      <c r="F85" s="151"/>
      <c r="G85" s="151"/>
      <c r="H85" s="151"/>
      <c r="I85" s="145"/>
      <c r="J85" s="146"/>
      <c r="K85" s="146"/>
      <c r="L85" s="146"/>
      <c r="M85" s="146"/>
      <c r="N85" s="146"/>
      <c r="O85" s="146"/>
      <c r="P85" s="146"/>
      <c r="Q85" s="152"/>
    </row>
    <row r="86" spans="1:17">
      <c r="A86" s="149"/>
      <c r="B86" s="149"/>
      <c r="C86" s="149"/>
      <c r="D86" s="155"/>
      <c r="E86" s="154"/>
      <c r="F86" s="151"/>
      <c r="G86" s="151"/>
      <c r="H86" s="151"/>
      <c r="I86" s="145"/>
      <c r="J86" s="146"/>
      <c r="K86" s="146"/>
      <c r="L86" s="146"/>
      <c r="M86" s="146"/>
      <c r="N86" s="146"/>
      <c r="O86" s="146"/>
      <c r="P86" s="146"/>
      <c r="Q86" s="152"/>
    </row>
    <row r="87" spans="1:17">
      <c r="A87" s="149"/>
      <c r="B87" s="149"/>
      <c r="C87" s="149"/>
      <c r="D87" s="155"/>
      <c r="E87" s="154"/>
      <c r="F87" s="151"/>
      <c r="G87" s="151"/>
      <c r="H87" s="151"/>
      <c r="I87" s="145"/>
      <c r="J87" s="146"/>
      <c r="K87" s="146"/>
      <c r="L87" s="146"/>
      <c r="M87" s="146"/>
      <c r="N87" s="146"/>
      <c r="O87" s="146"/>
      <c r="P87" s="146"/>
      <c r="Q87" s="152"/>
    </row>
    <row r="88" spans="1:17">
      <c r="A88" s="149"/>
      <c r="B88" s="148"/>
      <c r="C88" s="149"/>
      <c r="D88" s="155"/>
      <c r="E88" s="154"/>
      <c r="F88" s="151"/>
      <c r="G88" s="151"/>
      <c r="H88" s="151"/>
      <c r="I88" s="145"/>
      <c r="J88" s="146"/>
      <c r="K88" s="146"/>
      <c r="L88" s="146"/>
      <c r="M88" s="146"/>
      <c r="N88" s="146"/>
      <c r="O88" s="146"/>
      <c r="P88" s="146"/>
      <c r="Q88" s="152"/>
    </row>
    <row r="89" spans="1:17">
      <c r="A89" s="149"/>
      <c r="B89" s="149"/>
      <c r="C89" s="149"/>
      <c r="D89" s="155"/>
      <c r="E89" s="150"/>
      <c r="F89" s="151"/>
      <c r="G89" s="151"/>
      <c r="H89" s="151"/>
      <c r="I89" s="145"/>
      <c r="J89" s="146"/>
      <c r="K89" s="146"/>
      <c r="L89" s="146"/>
      <c r="M89" s="146"/>
      <c r="N89" s="146"/>
      <c r="O89" s="146"/>
      <c r="P89" s="146"/>
      <c r="Q89" s="152"/>
    </row>
    <row r="90" spans="1:17">
      <c r="A90" s="149"/>
      <c r="B90" s="149"/>
      <c r="C90" s="149"/>
      <c r="D90" s="155"/>
      <c r="E90" s="150"/>
      <c r="F90" s="151"/>
      <c r="G90" s="151"/>
      <c r="H90" s="151"/>
      <c r="I90" s="145"/>
      <c r="J90" s="146"/>
      <c r="K90" s="146"/>
      <c r="L90" s="146"/>
      <c r="M90" s="146"/>
      <c r="N90" s="146"/>
      <c r="O90" s="146"/>
      <c r="P90" s="146"/>
      <c r="Q90" s="152"/>
    </row>
    <row r="91" spans="1:17">
      <c r="A91" s="149"/>
      <c r="B91" s="149"/>
      <c r="C91" s="149"/>
      <c r="D91" s="155"/>
      <c r="E91" s="154"/>
      <c r="F91" s="151"/>
      <c r="G91" s="151"/>
      <c r="H91" s="151"/>
      <c r="I91" s="145"/>
      <c r="J91" s="146"/>
      <c r="K91" s="146"/>
      <c r="L91" s="146"/>
      <c r="M91" s="146"/>
      <c r="N91" s="146"/>
      <c r="O91" s="146"/>
      <c r="P91" s="146"/>
      <c r="Q91" s="152"/>
    </row>
    <row r="92" spans="1:17">
      <c r="A92" s="149"/>
      <c r="B92" s="149"/>
      <c r="C92" s="149"/>
      <c r="D92" s="155"/>
      <c r="E92" s="154"/>
      <c r="F92" s="151"/>
      <c r="G92" s="151"/>
      <c r="H92" s="151"/>
      <c r="I92" s="145"/>
      <c r="J92" s="146"/>
      <c r="K92" s="146"/>
      <c r="L92" s="146"/>
      <c r="M92" s="146"/>
      <c r="N92" s="146"/>
      <c r="O92" s="146"/>
      <c r="P92" s="146"/>
      <c r="Q92" s="152"/>
    </row>
    <row r="93" spans="1:17">
      <c r="A93" s="149"/>
      <c r="B93" s="149"/>
      <c r="C93" s="149"/>
      <c r="D93" s="155"/>
      <c r="E93" s="154"/>
      <c r="F93" s="151"/>
      <c r="G93" s="151"/>
      <c r="H93" s="151"/>
      <c r="I93" s="145"/>
      <c r="J93" s="146"/>
      <c r="K93" s="146"/>
      <c r="L93" s="146"/>
      <c r="M93" s="146"/>
      <c r="N93" s="146"/>
      <c r="O93" s="146"/>
      <c r="P93" s="146"/>
      <c r="Q93" s="152"/>
    </row>
    <row r="94" spans="1:17">
      <c r="A94" s="149"/>
      <c r="B94" s="149"/>
      <c r="C94" s="149"/>
      <c r="D94" s="155"/>
      <c r="E94" s="154"/>
      <c r="F94" s="151"/>
      <c r="G94" s="151"/>
      <c r="H94" s="151"/>
      <c r="I94" s="145"/>
      <c r="J94" s="146"/>
      <c r="K94" s="146"/>
      <c r="L94" s="146"/>
      <c r="M94" s="146"/>
      <c r="N94" s="146"/>
      <c r="O94" s="146"/>
      <c r="P94" s="146"/>
      <c r="Q94" s="152"/>
    </row>
    <row r="95" spans="1:17">
      <c r="A95" s="149"/>
      <c r="B95" s="149"/>
      <c r="C95" s="149"/>
      <c r="D95" s="155"/>
      <c r="E95" s="154"/>
      <c r="F95" s="151"/>
      <c r="G95" s="151"/>
      <c r="H95" s="151"/>
      <c r="I95" s="145"/>
      <c r="J95" s="146"/>
      <c r="K95" s="146"/>
      <c r="L95" s="146"/>
      <c r="M95" s="146"/>
      <c r="N95" s="146"/>
      <c r="O95" s="146"/>
      <c r="P95" s="146"/>
      <c r="Q95" s="152"/>
    </row>
    <row r="96" spans="1:17">
      <c r="A96" s="149"/>
      <c r="B96" s="148"/>
      <c r="C96" s="149"/>
      <c r="D96" s="155"/>
      <c r="E96" s="154"/>
      <c r="F96" s="151"/>
      <c r="G96" s="151"/>
      <c r="H96" s="151"/>
      <c r="I96" s="145"/>
      <c r="J96" s="146"/>
      <c r="K96" s="146"/>
      <c r="L96" s="146"/>
      <c r="M96" s="146"/>
      <c r="N96" s="146"/>
      <c r="O96" s="146"/>
      <c r="P96" s="146"/>
      <c r="Q96" s="152"/>
    </row>
    <row r="97" spans="1:17">
      <c r="A97" s="149"/>
      <c r="B97" s="149"/>
      <c r="C97" s="149"/>
      <c r="D97" s="155"/>
      <c r="E97" s="150"/>
      <c r="F97" s="151"/>
      <c r="G97" s="151"/>
      <c r="H97" s="151"/>
      <c r="I97" s="145"/>
      <c r="J97" s="146"/>
      <c r="K97" s="146"/>
      <c r="L97" s="146"/>
      <c r="M97" s="146"/>
      <c r="N97" s="146"/>
      <c r="O97" s="146"/>
      <c r="P97" s="146"/>
      <c r="Q97" s="152"/>
    </row>
    <row r="98" spans="1:17">
      <c r="A98" s="149"/>
      <c r="B98" s="149"/>
      <c r="C98" s="149"/>
      <c r="D98" s="155"/>
      <c r="E98" s="150"/>
      <c r="F98" s="151"/>
      <c r="G98" s="151"/>
      <c r="H98" s="151"/>
      <c r="I98" s="145"/>
      <c r="J98" s="146"/>
      <c r="K98" s="146"/>
      <c r="L98" s="146"/>
      <c r="M98" s="146"/>
      <c r="N98" s="146"/>
      <c r="O98" s="146"/>
      <c r="P98" s="146"/>
      <c r="Q98" s="152"/>
    </row>
    <row r="99" spans="1:17">
      <c r="A99" s="149"/>
      <c r="B99" s="149"/>
      <c r="C99" s="149"/>
      <c r="D99" s="155"/>
      <c r="E99" s="154"/>
      <c r="F99" s="151"/>
      <c r="G99" s="151"/>
      <c r="H99" s="151"/>
      <c r="I99" s="145"/>
      <c r="J99" s="146"/>
      <c r="K99" s="146"/>
      <c r="L99" s="146"/>
      <c r="M99" s="146"/>
      <c r="N99" s="146"/>
      <c r="O99" s="146"/>
      <c r="P99" s="146"/>
      <c r="Q99" s="152"/>
    </row>
    <row r="100" spans="1:17">
      <c r="A100" s="149"/>
      <c r="B100" s="149"/>
      <c r="C100" s="149"/>
      <c r="D100" s="155"/>
      <c r="E100" s="154"/>
      <c r="F100" s="151"/>
      <c r="G100" s="151"/>
      <c r="H100" s="151"/>
      <c r="I100" s="145"/>
      <c r="J100" s="146"/>
      <c r="K100" s="146"/>
      <c r="L100" s="146"/>
      <c r="M100" s="146"/>
      <c r="N100" s="146"/>
      <c r="O100" s="146"/>
      <c r="P100" s="146"/>
      <c r="Q100" s="152"/>
    </row>
    <row r="101" spans="1:17">
      <c r="A101" s="149"/>
      <c r="B101" s="149"/>
      <c r="C101" s="149"/>
      <c r="D101" s="155"/>
      <c r="E101" s="150"/>
      <c r="F101" s="151"/>
      <c r="G101" s="151"/>
      <c r="H101" s="151"/>
      <c r="I101" s="145"/>
      <c r="J101" s="146"/>
      <c r="K101" s="146"/>
      <c r="L101" s="146"/>
      <c r="M101" s="146"/>
      <c r="N101" s="146"/>
      <c r="O101" s="146"/>
      <c r="P101" s="146"/>
      <c r="Q101" s="152"/>
    </row>
    <row r="102" spans="1:17">
      <c r="A102" s="149"/>
      <c r="B102" s="149"/>
      <c r="C102" s="149"/>
      <c r="D102" s="155"/>
      <c r="E102" s="150"/>
      <c r="F102" s="151"/>
      <c r="G102" s="151"/>
      <c r="H102" s="151"/>
      <c r="I102" s="145"/>
      <c r="J102" s="146"/>
      <c r="K102" s="146"/>
      <c r="L102" s="146"/>
      <c r="M102" s="146"/>
      <c r="N102" s="146"/>
      <c r="O102" s="146"/>
      <c r="P102" s="146"/>
      <c r="Q102" s="152"/>
    </row>
    <row r="103" spans="1:17">
      <c r="A103" s="149"/>
      <c r="B103" s="149"/>
      <c r="C103" s="149"/>
      <c r="D103" s="155"/>
      <c r="E103" s="154"/>
      <c r="F103" s="151"/>
      <c r="G103" s="151"/>
      <c r="H103" s="151"/>
      <c r="I103" s="145"/>
      <c r="J103" s="146"/>
      <c r="K103" s="146"/>
      <c r="L103" s="146"/>
      <c r="M103" s="146"/>
      <c r="N103" s="146"/>
      <c r="O103" s="146"/>
      <c r="P103" s="146"/>
      <c r="Q103" s="152"/>
    </row>
    <row r="104" spans="1:17">
      <c r="A104" s="149"/>
      <c r="B104" s="149"/>
      <c r="C104" s="149"/>
      <c r="D104" s="155"/>
      <c r="E104" s="154"/>
      <c r="F104" s="151"/>
      <c r="G104" s="151"/>
      <c r="H104" s="151"/>
      <c r="I104" s="145"/>
      <c r="J104" s="146"/>
      <c r="K104" s="146"/>
      <c r="L104" s="146"/>
      <c r="M104" s="146"/>
      <c r="N104" s="146"/>
      <c r="O104" s="146"/>
      <c r="P104" s="146"/>
      <c r="Q104" s="152"/>
    </row>
    <row r="105" spans="1:17">
      <c r="A105" s="149"/>
      <c r="B105" s="149"/>
      <c r="C105" s="149"/>
      <c r="D105" s="155"/>
      <c r="E105" s="154"/>
      <c r="F105" s="151"/>
      <c r="G105" s="151"/>
      <c r="H105" s="151"/>
      <c r="I105" s="145"/>
      <c r="J105" s="146"/>
      <c r="K105" s="146"/>
      <c r="L105" s="146"/>
      <c r="M105" s="146"/>
      <c r="N105" s="146"/>
      <c r="O105" s="146"/>
      <c r="P105" s="146"/>
      <c r="Q105" s="152"/>
    </row>
    <row r="106" spans="1:17">
      <c r="A106" s="149"/>
      <c r="B106" s="149"/>
      <c r="C106" s="149"/>
      <c r="D106" s="155"/>
      <c r="E106" s="154"/>
      <c r="F106" s="151"/>
      <c r="G106" s="151"/>
      <c r="H106" s="151"/>
      <c r="I106" s="145"/>
      <c r="J106" s="146"/>
      <c r="K106" s="146"/>
      <c r="L106" s="146"/>
      <c r="M106" s="146"/>
      <c r="N106" s="146"/>
      <c r="O106" s="146"/>
      <c r="P106" s="146"/>
      <c r="Q106" s="152"/>
    </row>
    <row r="107" spans="1:17">
      <c r="A107" s="149"/>
      <c r="B107" s="149"/>
      <c r="C107" s="149"/>
      <c r="D107" s="155"/>
      <c r="E107" s="154"/>
      <c r="F107" s="151"/>
      <c r="G107" s="151"/>
      <c r="H107" s="151"/>
      <c r="I107" s="145"/>
      <c r="J107" s="146"/>
      <c r="K107" s="146"/>
      <c r="L107" s="146"/>
      <c r="M107" s="146"/>
      <c r="N107" s="146"/>
      <c r="O107" s="146"/>
      <c r="P107" s="146"/>
      <c r="Q107" s="152"/>
    </row>
    <row r="108" spans="1:17">
      <c r="A108" s="149"/>
      <c r="B108" s="148"/>
      <c r="C108" s="149"/>
      <c r="D108" s="155"/>
      <c r="E108" s="154"/>
      <c r="F108" s="151"/>
      <c r="G108" s="151"/>
      <c r="H108" s="151"/>
      <c r="I108" s="145"/>
      <c r="J108" s="146"/>
      <c r="K108" s="146"/>
      <c r="L108" s="146"/>
      <c r="M108" s="146"/>
      <c r="N108" s="146"/>
      <c r="O108" s="146"/>
      <c r="P108" s="146"/>
      <c r="Q108" s="152"/>
    </row>
    <row r="109" spans="1:17">
      <c r="A109" s="149"/>
      <c r="B109" s="149"/>
      <c r="C109" s="149"/>
      <c r="D109" s="155"/>
      <c r="E109" s="150"/>
      <c r="F109" s="151"/>
      <c r="G109" s="151"/>
      <c r="H109" s="151"/>
      <c r="I109" s="145"/>
      <c r="J109" s="146"/>
      <c r="K109" s="146"/>
      <c r="L109" s="146"/>
      <c r="M109" s="146"/>
      <c r="N109" s="146"/>
      <c r="O109" s="146"/>
      <c r="P109" s="146"/>
      <c r="Q109" s="152"/>
    </row>
    <row r="110" spans="1:17">
      <c r="A110" s="149"/>
      <c r="B110" s="149"/>
      <c r="C110" s="149"/>
      <c r="D110" s="155"/>
      <c r="E110" s="150"/>
      <c r="F110" s="151"/>
      <c r="G110" s="151"/>
      <c r="H110" s="151"/>
      <c r="I110" s="145"/>
      <c r="J110" s="146"/>
      <c r="K110" s="146"/>
      <c r="L110" s="146"/>
      <c r="M110" s="146"/>
      <c r="N110" s="146"/>
      <c r="O110" s="146"/>
      <c r="P110" s="146"/>
      <c r="Q110" s="152"/>
    </row>
    <row r="111" spans="1:17">
      <c r="A111" s="149"/>
      <c r="B111" s="149"/>
      <c r="C111" s="149"/>
      <c r="D111" s="155"/>
      <c r="E111" s="154"/>
      <c r="F111" s="151"/>
      <c r="G111" s="151"/>
      <c r="H111" s="151"/>
      <c r="I111" s="145"/>
      <c r="J111" s="146"/>
      <c r="K111" s="146"/>
      <c r="L111" s="146"/>
      <c r="M111" s="146"/>
      <c r="N111" s="146"/>
      <c r="O111" s="146"/>
      <c r="P111" s="146"/>
      <c r="Q111" s="152"/>
    </row>
    <row r="112" spans="1:17">
      <c r="A112" s="149"/>
      <c r="B112" s="149"/>
      <c r="C112" s="149"/>
      <c r="D112" s="155"/>
      <c r="E112" s="154"/>
      <c r="F112" s="151"/>
      <c r="G112" s="151"/>
      <c r="H112" s="151"/>
      <c r="I112" s="145"/>
      <c r="J112" s="146"/>
      <c r="K112" s="146"/>
      <c r="L112" s="146"/>
      <c r="M112" s="146"/>
      <c r="N112" s="146"/>
      <c r="O112" s="146"/>
      <c r="P112" s="146"/>
      <c r="Q112" s="152"/>
    </row>
    <row r="113" spans="1:17">
      <c r="A113" s="149"/>
      <c r="B113" s="149"/>
      <c r="C113" s="149"/>
      <c r="D113" s="155"/>
      <c r="E113" s="150"/>
      <c r="F113" s="151"/>
      <c r="G113" s="151"/>
      <c r="H113" s="151"/>
      <c r="I113" s="145"/>
      <c r="J113" s="146"/>
      <c r="K113" s="146"/>
      <c r="L113" s="146"/>
      <c r="M113" s="146"/>
      <c r="N113" s="146"/>
      <c r="O113" s="146"/>
      <c r="P113" s="146"/>
      <c r="Q113" s="152"/>
    </row>
    <row r="114" spans="1:17">
      <c r="A114" s="149"/>
      <c r="B114" s="149"/>
      <c r="C114" s="149"/>
      <c r="D114" s="155"/>
      <c r="E114" s="150"/>
      <c r="F114" s="151"/>
      <c r="G114" s="151"/>
      <c r="H114" s="151"/>
      <c r="I114" s="145"/>
      <c r="J114" s="146"/>
      <c r="K114" s="146"/>
      <c r="L114" s="146"/>
      <c r="M114" s="146"/>
      <c r="N114" s="146"/>
      <c r="O114" s="146"/>
      <c r="P114" s="146"/>
      <c r="Q114" s="152"/>
    </row>
    <row r="115" spans="1:17">
      <c r="A115" s="149"/>
      <c r="B115" s="149"/>
      <c r="C115" s="149"/>
      <c r="D115" s="155"/>
      <c r="E115" s="154"/>
      <c r="F115" s="151"/>
      <c r="G115" s="151"/>
      <c r="H115" s="151"/>
      <c r="I115" s="145"/>
      <c r="J115" s="146"/>
      <c r="K115" s="146"/>
      <c r="L115" s="146"/>
      <c r="M115" s="146"/>
      <c r="N115" s="146"/>
      <c r="O115" s="146"/>
      <c r="P115" s="146"/>
      <c r="Q115" s="152"/>
    </row>
    <row r="116" spans="1:17">
      <c r="A116" s="149"/>
      <c r="B116" s="149"/>
      <c r="C116" s="149"/>
      <c r="D116" s="155"/>
      <c r="E116" s="154"/>
      <c r="F116" s="151"/>
      <c r="G116" s="151"/>
      <c r="H116" s="151"/>
      <c r="I116" s="145"/>
      <c r="J116" s="146"/>
      <c r="K116" s="146"/>
      <c r="L116" s="146"/>
      <c r="M116" s="146"/>
      <c r="N116" s="146"/>
      <c r="O116" s="146"/>
      <c r="P116" s="146"/>
      <c r="Q116" s="152"/>
    </row>
    <row r="117" spans="1:17">
      <c r="A117" s="149"/>
      <c r="B117" s="149"/>
      <c r="C117" s="149"/>
      <c r="D117" s="155"/>
      <c r="E117" s="154"/>
      <c r="F117" s="151"/>
      <c r="G117" s="151"/>
      <c r="H117" s="151"/>
      <c r="I117" s="145"/>
      <c r="J117" s="146"/>
      <c r="K117" s="146"/>
      <c r="L117" s="146"/>
      <c r="M117" s="146"/>
      <c r="N117" s="146"/>
      <c r="O117" s="146"/>
      <c r="P117" s="146"/>
      <c r="Q117" s="152"/>
    </row>
    <row r="118" spans="1:17">
      <c r="A118" s="149"/>
      <c r="B118" s="149"/>
      <c r="C118" s="149"/>
      <c r="D118" s="155"/>
      <c r="E118" s="154"/>
      <c r="F118" s="151"/>
      <c r="G118" s="151"/>
      <c r="H118" s="151"/>
      <c r="I118" s="145"/>
      <c r="J118" s="146"/>
      <c r="K118" s="146"/>
      <c r="L118" s="146"/>
      <c r="M118" s="146"/>
      <c r="N118" s="146"/>
      <c r="O118" s="146"/>
      <c r="P118" s="146"/>
      <c r="Q118" s="152"/>
    </row>
    <row r="119" spans="1:17">
      <c r="A119" s="149"/>
      <c r="B119" s="149"/>
      <c r="C119" s="149"/>
      <c r="D119" s="155"/>
      <c r="E119" s="154"/>
      <c r="F119" s="151"/>
      <c r="G119" s="151"/>
      <c r="H119" s="151"/>
      <c r="I119" s="145"/>
      <c r="J119" s="146"/>
      <c r="K119" s="146"/>
      <c r="L119" s="146"/>
      <c r="M119" s="146"/>
      <c r="N119" s="146"/>
      <c r="O119" s="146"/>
      <c r="P119" s="146"/>
      <c r="Q119" s="152"/>
    </row>
    <row r="120" spans="1:17">
      <c r="A120" s="149"/>
      <c r="B120" s="149"/>
      <c r="C120" s="149"/>
      <c r="D120" s="155"/>
      <c r="E120" s="154"/>
      <c r="F120" s="151"/>
      <c r="G120" s="151"/>
      <c r="H120" s="151"/>
      <c r="I120" s="145"/>
      <c r="J120" s="146"/>
      <c r="K120" s="146"/>
      <c r="L120" s="146"/>
      <c r="M120" s="146"/>
      <c r="N120" s="146"/>
      <c r="O120" s="146"/>
      <c r="P120" s="146"/>
      <c r="Q120" s="152"/>
    </row>
    <row r="121" spans="1:17">
      <c r="A121" s="149"/>
      <c r="B121" s="149"/>
      <c r="C121" s="149"/>
      <c r="D121" s="155"/>
      <c r="E121" s="154"/>
      <c r="F121" s="151"/>
      <c r="G121" s="151"/>
      <c r="H121" s="151"/>
      <c r="I121" s="145"/>
      <c r="J121" s="146"/>
      <c r="K121" s="146"/>
      <c r="L121" s="146"/>
      <c r="M121" s="146"/>
      <c r="N121" s="146"/>
      <c r="O121" s="146"/>
      <c r="P121" s="146"/>
      <c r="Q121" s="152"/>
    </row>
    <row r="122" spans="1:17">
      <c r="A122" s="149"/>
      <c r="B122" s="149"/>
      <c r="C122" s="149"/>
      <c r="D122" s="155"/>
      <c r="E122" s="154"/>
      <c r="F122" s="151"/>
      <c r="G122" s="151"/>
      <c r="H122" s="151"/>
      <c r="I122" s="145"/>
      <c r="J122" s="146"/>
      <c r="K122" s="146"/>
      <c r="L122" s="146"/>
      <c r="M122" s="146"/>
      <c r="N122" s="146"/>
      <c r="O122" s="146"/>
      <c r="P122" s="146"/>
      <c r="Q122" s="152"/>
    </row>
    <row r="123" spans="1:17">
      <c r="A123" s="149"/>
      <c r="B123" s="149"/>
      <c r="C123" s="149"/>
      <c r="D123" s="155"/>
      <c r="E123" s="154"/>
      <c r="F123" s="151"/>
      <c r="G123" s="151"/>
      <c r="H123" s="151"/>
      <c r="I123" s="145"/>
      <c r="J123" s="146"/>
      <c r="K123" s="146"/>
      <c r="L123" s="146"/>
      <c r="M123" s="146"/>
      <c r="N123" s="146"/>
      <c r="O123" s="146"/>
      <c r="P123" s="146"/>
      <c r="Q123" s="152"/>
    </row>
    <row r="124" spans="1:17">
      <c r="I124" s="145"/>
      <c r="J124" s="146"/>
      <c r="K124" s="146"/>
      <c r="L124" s="146"/>
      <c r="M124" s="146"/>
      <c r="N124" s="146"/>
      <c r="O124" s="146"/>
      <c r="P124" s="146"/>
    </row>
    <row r="125" spans="1:17">
      <c r="I125" s="145"/>
      <c r="J125" s="146"/>
      <c r="K125" s="146"/>
      <c r="L125" s="146"/>
      <c r="M125" s="146"/>
      <c r="N125" s="146"/>
      <c r="O125" s="146"/>
      <c r="P125" s="146"/>
    </row>
    <row r="126" spans="1:17">
      <c r="I126" s="145"/>
      <c r="J126" s="146"/>
      <c r="K126" s="146"/>
      <c r="L126" s="146"/>
      <c r="M126" s="146"/>
      <c r="N126" s="146"/>
      <c r="O126" s="146"/>
      <c r="P126" s="146"/>
    </row>
  </sheetData>
  <sheetProtection formatCells="0" formatColumns="0" formatRows="0" insertRows="0" deleteRows="0"/>
  <protectedRanges>
    <protectedRange sqref="B4:G71" name="story" securityDescriptor=""/>
    <protectedRange sqref="J4:J71" name="区域2" securityDescriptor=""/>
  </protectedRanges>
  <mergeCells count="23">
    <mergeCell ref="D21:D37"/>
    <mergeCell ref="B38:B54"/>
    <mergeCell ref="C38:C54"/>
    <mergeCell ref="D38:D54"/>
    <mergeCell ref="B55:B71"/>
    <mergeCell ref="C55:C71"/>
    <mergeCell ref="D55:D71"/>
    <mergeCell ref="A3:H3"/>
    <mergeCell ref="R4:R18"/>
    <mergeCell ref="R20:R30"/>
    <mergeCell ref="F1:H1"/>
    <mergeCell ref="I1:P1"/>
    <mergeCell ref="Q1:Q2"/>
    <mergeCell ref="A1:A2"/>
    <mergeCell ref="B1:B2"/>
    <mergeCell ref="C1:C2"/>
    <mergeCell ref="D1:D2"/>
    <mergeCell ref="E1:E2"/>
    <mergeCell ref="B4:B20"/>
    <mergeCell ref="C4:C20"/>
    <mergeCell ref="D4:D20"/>
    <mergeCell ref="B21:B37"/>
    <mergeCell ref="C21:C37"/>
  </mergeCells>
  <phoneticPr fontId="2" type="noConversion"/>
  <dataValidations count="4">
    <dataValidation type="list" allowBlank="1" showInputMessage="1" showErrorMessage="1" sqref="I4:P126">
      <formula1>"0.3,0.5,0.7,0.9,1"</formula1>
    </dataValidation>
    <dataValidation type="list" allowBlank="1" showInputMessage="1" showErrorMessage="1" sqref="F4:F123">
      <formula1>"ILF,ELF,EI,EO,EQ"</formula1>
    </dataValidation>
    <dataValidation type="list" allowBlank="1" showInputMessage="1" showErrorMessage="1" sqref="G4:G123">
      <formula1>"低,中,高"</formula1>
    </dataValidation>
    <dataValidation type="list" allowBlank="1" showInputMessage="1" showErrorMessage="1" sqref="H4:H123">
      <formula1>"35,15,10,7,6,5,4,3, "</formula1>
    </dataValidation>
  </dataValidation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26625" r:id="rId4" name="FPACal">
          <controlPr defaultSize="0" autoLine="0" r:id="rId5">
            <anchor moveWithCells="1">
              <from>
                <xdr:col>18</xdr:col>
                <xdr:colOff>9525</xdr:colOff>
                <xdr:row>0</xdr:row>
                <xdr:rowOff>190500</xdr:rowOff>
              </from>
              <to>
                <xdr:col>19</xdr:col>
                <xdr:colOff>142875</xdr:colOff>
                <xdr:row>2</xdr:row>
                <xdr:rowOff>123825</xdr:rowOff>
              </to>
            </anchor>
          </controlPr>
        </control>
      </mc:Choice>
      <mc:Fallback>
        <control shapeId="26625" r:id="rId4" name="FPACal"/>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Y47"/>
  <sheetViews>
    <sheetView topLeftCell="B2" zoomScale="115" zoomScaleNormal="115" workbookViewId="0">
      <selection activeCell="U7" sqref="U7"/>
    </sheetView>
  </sheetViews>
  <sheetFormatPr defaultColWidth="9.125" defaultRowHeight="13.5"/>
  <cols>
    <col min="1" max="1" width="4.375" style="73" customWidth="1"/>
    <col min="2" max="2" width="15.375" style="73" customWidth="1"/>
    <col min="3" max="11" width="5.875" style="73" customWidth="1"/>
    <col min="12" max="12" width="6.375" style="73" customWidth="1"/>
    <col min="13" max="14" width="4.875" style="73" customWidth="1"/>
    <col min="15" max="16" width="5.375" style="73" customWidth="1"/>
    <col min="17" max="17" width="5.875" style="73" customWidth="1"/>
    <col min="18" max="18" width="9.125" style="73" bestFit="1" customWidth="1"/>
    <col min="19" max="20" width="5.125" style="73" customWidth="1"/>
    <col min="21" max="16384" width="9.125" style="73"/>
  </cols>
  <sheetData>
    <row r="1" spans="1:18" ht="15.75" thickBot="1">
      <c r="A1" s="227" t="s">
        <v>172</v>
      </c>
      <c r="B1" s="228"/>
      <c r="C1" s="235" t="s">
        <v>3</v>
      </c>
      <c r="D1" s="236"/>
      <c r="E1" s="236"/>
      <c r="F1" s="236"/>
      <c r="G1" s="236"/>
      <c r="H1" s="236"/>
      <c r="I1" s="236"/>
      <c r="J1" s="236"/>
      <c r="K1" s="236"/>
      <c r="L1" s="236"/>
      <c r="M1" s="237"/>
      <c r="N1" s="222" t="s">
        <v>4</v>
      </c>
      <c r="O1" s="223"/>
      <c r="P1" s="223"/>
      <c r="Q1" s="224"/>
      <c r="R1" s="225" t="s">
        <v>236</v>
      </c>
    </row>
    <row r="2" spans="1:18" ht="84.75" thickBot="1">
      <c r="A2" s="229"/>
      <c r="B2" s="230"/>
      <c r="C2" s="74" t="s">
        <v>5</v>
      </c>
      <c r="D2" s="75" t="s">
        <v>6</v>
      </c>
      <c r="E2" s="75" t="s">
        <v>7</v>
      </c>
      <c r="F2" s="75" t="s">
        <v>8</v>
      </c>
      <c r="G2" s="75" t="s">
        <v>9</v>
      </c>
      <c r="H2" s="75" t="s">
        <v>10</v>
      </c>
      <c r="I2" s="75" t="s">
        <v>11</v>
      </c>
      <c r="J2" s="75" t="s">
        <v>12</v>
      </c>
      <c r="K2" s="75" t="s">
        <v>13</v>
      </c>
      <c r="L2" s="75" t="s">
        <v>197</v>
      </c>
      <c r="M2" s="75" t="s">
        <v>284</v>
      </c>
      <c r="N2" s="76" t="s">
        <v>200</v>
      </c>
      <c r="O2" s="77" t="s">
        <v>1</v>
      </c>
      <c r="P2" s="77" t="s">
        <v>2</v>
      </c>
      <c r="Q2" s="77" t="s">
        <v>201</v>
      </c>
      <c r="R2" s="226"/>
    </row>
    <row r="3" spans="1:18" ht="19.5" customHeight="1" thickBot="1">
      <c r="A3" s="78">
        <v>1</v>
      </c>
      <c r="B3" s="79" t="s">
        <v>239</v>
      </c>
      <c r="C3" s="80">
        <v>4</v>
      </c>
      <c r="D3" s="81">
        <v>1</v>
      </c>
      <c r="E3" s="81">
        <v>2</v>
      </c>
      <c r="F3" s="81">
        <v>2</v>
      </c>
      <c r="G3" s="81">
        <v>1</v>
      </c>
      <c r="H3" s="81">
        <v>4</v>
      </c>
      <c r="I3" s="81">
        <v>5</v>
      </c>
      <c r="J3" s="81">
        <v>4</v>
      </c>
      <c r="K3" s="81">
        <v>1</v>
      </c>
      <c r="L3" s="81">
        <v>3</v>
      </c>
      <c r="M3" s="82">
        <v>0.34</v>
      </c>
      <c r="N3" s="81">
        <v>1</v>
      </c>
      <c r="O3" s="81">
        <v>3</v>
      </c>
      <c r="P3" s="81">
        <v>0</v>
      </c>
      <c r="Q3" s="81">
        <v>1</v>
      </c>
      <c r="R3" s="135">
        <f>(SUM(C3:L3,$P3,$O3)*0.01+0.69)*$Q3*$N3*$M3</f>
        <v>0.33660000000000001</v>
      </c>
    </row>
    <row r="4" spans="1:18" ht="19.5" customHeight="1" thickBot="1">
      <c r="A4" s="78">
        <v>2</v>
      </c>
      <c r="B4" s="79" t="s">
        <v>185</v>
      </c>
      <c r="C4" s="83">
        <v>4</v>
      </c>
      <c r="D4" s="84">
        <v>1</v>
      </c>
      <c r="E4" s="84">
        <v>3</v>
      </c>
      <c r="F4" s="84">
        <v>2</v>
      </c>
      <c r="G4" s="84">
        <v>1</v>
      </c>
      <c r="H4" s="84">
        <v>4</v>
      </c>
      <c r="I4" s="84">
        <v>5</v>
      </c>
      <c r="J4" s="84">
        <v>4</v>
      </c>
      <c r="K4" s="84">
        <v>1</v>
      </c>
      <c r="L4" s="84">
        <v>2</v>
      </c>
      <c r="M4" s="85">
        <v>0.34</v>
      </c>
      <c r="N4" s="84">
        <v>1</v>
      </c>
      <c r="O4" s="84">
        <v>3</v>
      </c>
      <c r="P4" s="84">
        <v>0</v>
      </c>
      <c r="Q4" s="84">
        <v>1</v>
      </c>
      <c r="R4" s="135">
        <f t="shared" ref="R4:R9" si="0">(SUM(C4:L4,$P4,$O4)*0.01+0.69)*$Q4*$N4*$M4</f>
        <v>0.33660000000000001</v>
      </c>
    </row>
    <row r="5" spans="1:18" ht="17.25" thickBot="1">
      <c r="A5" s="78">
        <v>3</v>
      </c>
      <c r="B5" s="86" t="s">
        <v>240</v>
      </c>
      <c r="C5" s="80">
        <v>4</v>
      </c>
      <c r="D5" s="81">
        <v>3</v>
      </c>
      <c r="E5" s="81">
        <v>4</v>
      </c>
      <c r="F5" s="81">
        <v>5</v>
      </c>
      <c r="G5" s="81">
        <v>4</v>
      </c>
      <c r="H5" s="81">
        <v>3</v>
      </c>
      <c r="I5" s="81">
        <v>2</v>
      </c>
      <c r="J5" s="81">
        <v>4</v>
      </c>
      <c r="K5" s="81">
        <v>2</v>
      </c>
      <c r="L5" s="81">
        <v>3</v>
      </c>
      <c r="M5" s="87">
        <v>0.34</v>
      </c>
      <c r="N5" s="81">
        <v>1</v>
      </c>
      <c r="O5" s="81">
        <v>3</v>
      </c>
      <c r="P5" s="81">
        <v>0</v>
      </c>
      <c r="Q5" s="81">
        <v>1</v>
      </c>
      <c r="R5" s="135">
        <f t="shared" si="0"/>
        <v>0.36040000000000005</v>
      </c>
    </row>
    <row r="6" spans="1:18" ht="17.25" thickBot="1">
      <c r="A6" s="78">
        <v>4</v>
      </c>
      <c r="B6" s="79" t="s">
        <v>238</v>
      </c>
      <c r="C6" s="83">
        <v>1</v>
      </c>
      <c r="D6" s="84">
        <v>0</v>
      </c>
      <c r="E6" s="84">
        <v>1</v>
      </c>
      <c r="F6" s="84">
        <v>2</v>
      </c>
      <c r="G6" s="84">
        <v>3</v>
      </c>
      <c r="H6" s="84">
        <v>5</v>
      </c>
      <c r="I6" s="84">
        <v>5</v>
      </c>
      <c r="J6" s="84">
        <v>0</v>
      </c>
      <c r="K6" s="84">
        <v>1</v>
      </c>
      <c r="L6" s="84">
        <v>1</v>
      </c>
      <c r="M6" s="85">
        <v>0.34</v>
      </c>
      <c r="N6" s="84">
        <v>1</v>
      </c>
      <c r="O6" s="84">
        <v>3</v>
      </c>
      <c r="P6" s="84">
        <v>0</v>
      </c>
      <c r="Q6" s="84">
        <v>1</v>
      </c>
      <c r="R6" s="135">
        <f t="shared" si="0"/>
        <v>0.30940000000000001</v>
      </c>
    </row>
    <row r="7" spans="1:18" ht="19.5" customHeight="1" thickBot="1">
      <c r="A7" s="78">
        <v>5</v>
      </c>
      <c r="B7" s="86" t="s">
        <v>241</v>
      </c>
      <c r="C7" s="80">
        <v>5</v>
      </c>
      <c r="D7" s="81">
        <v>0</v>
      </c>
      <c r="E7" s="81">
        <v>4</v>
      </c>
      <c r="F7" s="81">
        <v>4</v>
      </c>
      <c r="G7" s="81">
        <v>4</v>
      </c>
      <c r="H7" s="81">
        <v>5</v>
      </c>
      <c r="I7" s="81">
        <v>0</v>
      </c>
      <c r="J7" s="81">
        <v>5</v>
      </c>
      <c r="K7" s="81">
        <v>4</v>
      </c>
      <c r="L7" s="81">
        <v>4</v>
      </c>
      <c r="M7" s="85">
        <v>0.34</v>
      </c>
      <c r="N7" s="81">
        <v>1</v>
      </c>
      <c r="O7" s="81">
        <v>3</v>
      </c>
      <c r="P7" s="81">
        <v>0</v>
      </c>
      <c r="Q7" s="81">
        <v>1</v>
      </c>
      <c r="R7" s="135">
        <f t="shared" si="0"/>
        <v>0.36379999999999996</v>
      </c>
    </row>
    <row r="8" spans="1:18" ht="17.25" thickBot="1">
      <c r="A8" s="78">
        <v>6</v>
      </c>
      <c r="B8" s="86" t="s">
        <v>175</v>
      </c>
      <c r="C8" s="83">
        <v>3</v>
      </c>
      <c r="D8" s="84">
        <v>4</v>
      </c>
      <c r="E8" s="84">
        <v>2</v>
      </c>
      <c r="F8" s="84">
        <v>2</v>
      </c>
      <c r="G8" s="84">
        <v>3</v>
      </c>
      <c r="H8" s="84">
        <v>2</v>
      </c>
      <c r="I8" s="84">
        <v>0</v>
      </c>
      <c r="J8" s="84">
        <v>3</v>
      </c>
      <c r="K8" s="84">
        <v>2</v>
      </c>
      <c r="L8" s="84">
        <v>2</v>
      </c>
      <c r="M8" s="85">
        <v>0.34</v>
      </c>
      <c r="N8" s="84">
        <v>1</v>
      </c>
      <c r="O8" s="84">
        <v>3</v>
      </c>
      <c r="P8" s="84">
        <v>0</v>
      </c>
      <c r="Q8" s="84">
        <v>1</v>
      </c>
      <c r="R8" s="135">
        <f t="shared" si="0"/>
        <v>0.32300000000000001</v>
      </c>
    </row>
    <row r="9" spans="1:18" ht="19.5" customHeight="1" thickBot="1">
      <c r="A9" s="78">
        <v>7</v>
      </c>
      <c r="B9" s="88" t="s">
        <v>169</v>
      </c>
      <c r="C9" s="89">
        <v>3</v>
      </c>
      <c r="D9" s="90">
        <v>1</v>
      </c>
      <c r="E9" s="90">
        <v>4</v>
      </c>
      <c r="F9" s="90">
        <v>5</v>
      </c>
      <c r="G9" s="90">
        <v>4</v>
      </c>
      <c r="H9" s="90">
        <v>5</v>
      </c>
      <c r="I9" s="90">
        <v>0</v>
      </c>
      <c r="J9" s="90">
        <v>4</v>
      </c>
      <c r="K9" s="90">
        <v>3</v>
      </c>
      <c r="L9" s="90">
        <v>1</v>
      </c>
      <c r="M9" s="85">
        <v>0.34</v>
      </c>
      <c r="N9" s="90">
        <v>1</v>
      </c>
      <c r="O9" s="90">
        <v>5</v>
      </c>
      <c r="P9" s="90">
        <v>1</v>
      </c>
      <c r="Q9" s="90">
        <v>1</v>
      </c>
      <c r="R9" s="135">
        <f t="shared" si="0"/>
        <v>0.35699999999999998</v>
      </c>
    </row>
    <row r="11" spans="1:18" ht="14.25" thickBot="1"/>
    <row r="12" spans="1:18" ht="16.5" hidden="1" customHeight="1" thickBot="1">
      <c r="A12" s="227" t="s">
        <v>172</v>
      </c>
      <c r="B12" s="228"/>
      <c r="C12" s="231" t="s">
        <v>3</v>
      </c>
      <c r="D12" s="232"/>
      <c r="E12" s="232"/>
      <c r="F12" s="232"/>
      <c r="G12" s="232"/>
      <c r="H12" s="232"/>
      <c r="I12" s="232"/>
      <c r="J12" s="232"/>
      <c r="K12" s="232"/>
      <c r="L12" s="232"/>
      <c r="M12" s="91"/>
      <c r="N12" s="222" t="s">
        <v>4</v>
      </c>
      <c r="O12" s="223"/>
      <c r="P12" s="223"/>
      <c r="Q12" s="224"/>
      <c r="R12" s="233" t="s">
        <v>170</v>
      </c>
    </row>
    <row r="13" spans="1:18" ht="70.5" hidden="1" customHeight="1" thickBot="1">
      <c r="A13" s="229"/>
      <c r="B13" s="230"/>
      <c r="C13" s="92" t="s">
        <v>5</v>
      </c>
      <c r="D13" s="93" t="s">
        <v>6</v>
      </c>
      <c r="E13" s="93" t="s">
        <v>7</v>
      </c>
      <c r="F13" s="93" t="s">
        <v>8</v>
      </c>
      <c r="G13" s="93" t="s">
        <v>9</v>
      </c>
      <c r="H13" s="93" t="s">
        <v>10</v>
      </c>
      <c r="I13" s="93" t="s">
        <v>11</v>
      </c>
      <c r="J13" s="93" t="s">
        <v>12</v>
      </c>
      <c r="K13" s="93" t="s">
        <v>13</v>
      </c>
      <c r="L13" s="93" t="s">
        <v>14</v>
      </c>
      <c r="M13" s="94"/>
      <c r="N13" s="95" t="s">
        <v>198</v>
      </c>
      <c r="O13" s="77" t="s">
        <v>1</v>
      </c>
      <c r="P13" s="96" t="s">
        <v>2</v>
      </c>
      <c r="Q13" s="97" t="s">
        <v>199</v>
      </c>
      <c r="R13" s="234"/>
    </row>
    <row r="14" spans="1:18" ht="16.5" hidden="1" customHeight="1" thickBot="1">
      <c r="A14" s="78">
        <v>1</v>
      </c>
      <c r="B14" s="79" t="s">
        <v>189</v>
      </c>
      <c r="C14" s="84">
        <v>4</v>
      </c>
      <c r="D14" s="84">
        <v>1</v>
      </c>
      <c r="E14" s="84">
        <v>2</v>
      </c>
      <c r="F14" s="84">
        <v>2</v>
      </c>
      <c r="G14" s="84">
        <v>1</v>
      </c>
      <c r="H14" s="84">
        <v>4</v>
      </c>
      <c r="I14" s="84">
        <v>5</v>
      </c>
      <c r="J14" s="84">
        <v>4</v>
      </c>
      <c r="K14" s="84">
        <v>1</v>
      </c>
      <c r="L14" s="84">
        <v>3</v>
      </c>
      <c r="M14" s="84"/>
      <c r="N14" s="84">
        <v>1</v>
      </c>
      <c r="O14" s="84">
        <v>5</v>
      </c>
      <c r="P14" s="84">
        <v>0</v>
      </c>
      <c r="Q14" s="84">
        <v>1</v>
      </c>
      <c r="R14" s="98" t="e">
        <f>(SUM(C14:L14,$P$3,$O$3)*0.01+0.64)*$Q$3*$N$3*#REF!</f>
        <v>#REF!</v>
      </c>
    </row>
    <row r="15" spans="1:18" ht="16.5" hidden="1" customHeight="1" thickBot="1">
      <c r="A15" s="78">
        <v>2</v>
      </c>
      <c r="B15" s="79" t="s">
        <v>185</v>
      </c>
      <c r="C15" s="84">
        <v>4</v>
      </c>
      <c r="D15" s="84">
        <v>1</v>
      </c>
      <c r="E15" s="84">
        <v>3</v>
      </c>
      <c r="F15" s="84">
        <v>2</v>
      </c>
      <c r="G15" s="84">
        <v>1</v>
      </c>
      <c r="H15" s="84">
        <v>4</v>
      </c>
      <c r="I15" s="84">
        <v>5</v>
      </c>
      <c r="J15" s="84">
        <v>4</v>
      </c>
      <c r="K15" s="84">
        <v>1</v>
      </c>
      <c r="L15" s="84">
        <v>2</v>
      </c>
      <c r="M15" s="84"/>
      <c r="N15" s="84">
        <v>1</v>
      </c>
      <c r="O15" s="84">
        <v>1</v>
      </c>
      <c r="P15" s="84">
        <v>0</v>
      </c>
      <c r="Q15" s="84">
        <v>1</v>
      </c>
      <c r="R15" s="98" t="e">
        <f>(SUM(C15:L15,$P$3,$O$3)*0.01+0.64)*$Q$3*$N$3*#REF!</f>
        <v>#REF!</v>
      </c>
    </row>
    <row r="16" spans="1:18" ht="17.25" hidden="1" thickBot="1">
      <c r="A16" s="99">
        <v>3</v>
      </c>
      <c r="B16" s="86" t="s">
        <v>190</v>
      </c>
      <c r="C16" s="81">
        <v>4</v>
      </c>
      <c r="D16" s="81">
        <v>3</v>
      </c>
      <c r="E16" s="81">
        <v>4</v>
      </c>
      <c r="F16" s="81">
        <v>5</v>
      </c>
      <c r="G16" s="81">
        <v>4</v>
      </c>
      <c r="H16" s="81">
        <v>3</v>
      </c>
      <c r="I16" s="81">
        <v>2</v>
      </c>
      <c r="J16" s="81">
        <v>4</v>
      </c>
      <c r="K16" s="81">
        <v>2</v>
      </c>
      <c r="L16" s="81">
        <v>3</v>
      </c>
      <c r="M16" s="81"/>
      <c r="N16" s="81">
        <v>1</v>
      </c>
      <c r="O16" s="81">
        <v>1</v>
      </c>
      <c r="P16" s="81">
        <v>0</v>
      </c>
      <c r="Q16" s="81">
        <v>1</v>
      </c>
      <c r="R16" s="98" t="e">
        <f>(SUM(C16:L16,$P$3,$O$3)*0.01+0.64)*$Q$3*$N$3*#REF!</f>
        <v>#REF!</v>
      </c>
    </row>
    <row r="17" spans="1:25" ht="17.25" hidden="1" thickBot="1">
      <c r="A17" s="99">
        <v>4</v>
      </c>
      <c r="B17" s="86" t="s">
        <v>191</v>
      </c>
      <c r="C17" s="84">
        <v>4</v>
      </c>
      <c r="D17" s="84">
        <v>4</v>
      </c>
      <c r="E17" s="84">
        <v>4</v>
      </c>
      <c r="F17" s="84">
        <v>5</v>
      </c>
      <c r="G17" s="84">
        <v>4</v>
      </c>
      <c r="H17" s="84">
        <v>3</v>
      </c>
      <c r="I17" s="84">
        <v>2</v>
      </c>
      <c r="J17" s="84">
        <v>4</v>
      </c>
      <c r="K17" s="84">
        <v>2</v>
      </c>
      <c r="L17" s="84">
        <v>3</v>
      </c>
      <c r="M17" s="84"/>
      <c r="N17" s="84">
        <v>1</v>
      </c>
      <c r="O17" s="84">
        <v>1</v>
      </c>
      <c r="P17" s="84">
        <v>0</v>
      </c>
      <c r="Q17" s="84">
        <v>1</v>
      </c>
      <c r="R17" s="98" t="e">
        <f>(SUM(C17:L17,$P$3,$O$3)*0.01+0.64)*$Q$3*$N$3*#REF!</f>
        <v>#REF!</v>
      </c>
    </row>
    <row r="18" spans="1:25" ht="17.25" hidden="1" thickBot="1">
      <c r="A18" s="78">
        <v>1</v>
      </c>
      <c r="B18" s="79" t="s">
        <v>187</v>
      </c>
      <c r="C18" s="84">
        <v>1</v>
      </c>
      <c r="D18" s="84">
        <v>0</v>
      </c>
      <c r="E18" s="84">
        <v>1</v>
      </c>
      <c r="F18" s="84">
        <v>2</v>
      </c>
      <c r="G18" s="84">
        <v>3</v>
      </c>
      <c r="H18" s="84">
        <v>5</v>
      </c>
      <c r="I18" s="84">
        <v>5</v>
      </c>
      <c r="J18" s="84">
        <v>0</v>
      </c>
      <c r="K18" s="84">
        <v>1</v>
      </c>
      <c r="L18" s="84">
        <v>1</v>
      </c>
      <c r="M18" s="84"/>
      <c r="N18" s="84">
        <v>1</v>
      </c>
      <c r="O18" s="84">
        <v>3</v>
      </c>
      <c r="P18" s="84">
        <v>0</v>
      </c>
      <c r="Q18" s="84">
        <v>1</v>
      </c>
      <c r="R18" s="98" t="e">
        <f>(SUM(C18:L18,$P18,$O18)*0.01+0.64)*$Q18*$N18*#REF!</f>
        <v>#REF!</v>
      </c>
    </row>
    <row r="19" spans="1:25" ht="17.25" hidden="1" thickBot="1">
      <c r="A19" s="99">
        <v>2</v>
      </c>
      <c r="B19" s="86" t="s">
        <v>188</v>
      </c>
      <c r="C19" s="81">
        <v>5</v>
      </c>
      <c r="D19" s="81">
        <v>0</v>
      </c>
      <c r="E19" s="81">
        <v>4</v>
      </c>
      <c r="F19" s="81">
        <v>4</v>
      </c>
      <c r="G19" s="81">
        <v>4</v>
      </c>
      <c r="H19" s="81">
        <v>5</v>
      </c>
      <c r="I19" s="81">
        <v>0</v>
      </c>
      <c r="J19" s="81">
        <v>5</v>
      </c>
      <c r="K19" s="81">
        <v>4</v>
      </c>
      <c r="L19" s="81">
        <v>4</v>
      </c>
      <c r="M19" s="81"/>
      <c r="N19" s="81">
        <v>1</v>
      </c>
      <c r="O19" s="81">
        <v>3</v>
      </c>
      <c r="P19" s="81">
        <v>0</v>
      </c>
      <c r="Q19" s="81">
        <v>1</v>
      </c>
      <c r="R19" s="98" t="e">
        <f>(SUM(C19:L19,$P19,$O19)*0.01+0.64)*$Q19*$N19*#REF!</f>
        <v>#REF!</v>
      </c>
    </row>
    <row r="20" spans="1:25" ht="17.25" hidden="1" thickBot="1">
      <c r="A20" s="99">
        <v>3</v>
      </c>
      <c r="B20" s="86" t="s">
        <v>175</v>
      </c>
      <c r="C20" s="84">
        <v>3</v>
      </c>
      <c r="D20" s="84">
        <v>4</v>
      </c>
      <c r="E20" s="84">
        <v>2</v>
      </c>
      <c r="F20" s="84">
        <v>2</v>
      </c>
      <c r="G20" s="84">
        <v>3</v>
      </c>
      <c r="H20" s="84">
        <v>2</v>
      </c>
      <c r="I20" s="84">
        <v>0</v>
      </c>
      <c r="J20" s="84">
        <v>3</v>
      </c>
      <c r="K20" s="84">
        <v>2</v>
      </c>
      <c r="L20" s="84">
        <v>2</v>
      </c>
      <c r="M20" s="84"/>
      <c r="N20" s="84">
        <v>1</v>
      </c>
      <c r="O20" s="84">
        <v>3</v>
      </c>
      <c r="P20" s="84">
        <v>0</v>
      </c>
      <c r="Q20" s="84">
        <v>1</v>
      </c>
      <c r="R20" s="98" t="e">
        <f>(SUM(C20:L20,$P20,$O20)*0.01+0.64)*$Q20*$N20*#REF!</f>
        <v>#REF!</v>
      </c>
    </row>
    <row r="21" spans="1:25" ht="17.25" hidden="1" thickBot="1">
      <c r="A21" s="100">
        <v>4</v>
      </c>
      <c r="B21" s="88" t="s">
        <v>169</v>
      </c>
      <c r="C21" s="81">
        <v>3</v>
      </c>
      <c r="D21" s="81">
        <v>1</v>
      </c>
      <c r="E21" s="81">
        <v>4</v>
      </c>
      <c r="F21" s="81">
        <v>5</v>
      </c>
      <c r="G21" s="81">
        <v>4</v>
      </c>
      <c r="H21" s="81">
        <v>5</v>
      </c>
      <c r="I21" s="81">
        <v>0</v>
      </c>
      <c r="J21" s="81">
        <v>4</v>
      </c>
      <c r="K21" s="81">
        <v>3</v>
      </c>
      <c r="L21" s="81">
        <v>1</v>
      </c>
      <c r="M21" s="81"/>
      <c r="N21" s="81">
        <v>1</v>
      </c>
      <c r="O21" s="81">
        <v>5</v>
      </c>
      <c r="P21" s="81">
        <v>1</v>
      </c>
      <c r="Q21" s="81">
        <v>1</v>
      </c>
      <c r="R21" s="98" t="e">
        <f>(SUM(C21:L21,$P21,$O21)*0.01+0.64)*$Q21*$N21*#REF!</f>
        <v>#REF!</v>
      </c>
    </row>
    <row r="22" spans="1:25" ht="14.25" thickBot="1">
      <c r="C22" s="101" t="s">
        <v>221</v>
      </c>
      <c r="D22" s="102"/>
      <c r="E22" s="103" t="s">
        <v>207</v>
      </c>
      <c r="F22" s="103" t="s">
        <v>208</v>
      </c>
      <c r="G22" s="104" t="s">
        <v>209</v>
      </c>
    </row>
    <row r="23" spans="1:25" ht="14.25" thickBot="1">
      <c r="C23" s="105"/>
      <c r="D23" s="106"/>
      <c r="E23" s="105"/>
      <c r="F23" s="105"/>
      <c r="G23" s="105"/>
    </row>
    <row r="24" spans="1:25" ht="14.25" thickBot="1">
      <c r="C24" s="219" t="s">
        <v>234</v>
      </c>
      <c r="D24" s="214" t="s">
        <v>217</v>
      </c>
      <c r="E24" s="209" t="s">
        <v>205</v>
      </c>
      <c r="F24" s="209" t="s">
        <v>202</v>
      </c>
      <c r="G24" s="205" t="s">
        <v>203</v>
      </c>
      <c r="I24" s="219" t="s">
        <v>232</v>
      </c>
      <c r="J24" s="214" t="s">
        <v>217</v>
      </c>
      <c r="K24" s="209" t="s">
        <v>210</v>
      </c>
      <c r="L24" s="209" t="s">
        <v>211</v>
      </c>
      <c r="M24" s="107"/>
      <c r="N24" s="205" t="s">
        <v>193</v>
      </c>
      <c r="P24" s="211" t="s">
        <v>231</v>
      </c>
      <c r="Q24" s="209" t="s">
        <v>217</v>
      </c>
      <c r="R24" s="203" t="s">
        <v>215</v>
      </c>
      <c r="S24" s="203" t="s">
        <v>216</v>
      </c>
      <c r="T24" s="207" t="s">
        <v>213</v>
      </c>
      <c r="V24" s="108"/>
      <c r="W24" s="109" t="s">
        <v>255</v>
      </c>
      <c r="X24" s="110" t="s">
        <v>256</v>
      </c>
      <c r="Y24" s="111" t="s">
        <v>257</v>
      </c>
    </row>
    <row r="25" spans="1:25">
      <c r="C25" s="220"/>
      <c r="D25" s="215"/>
      <c r="E25" s="210"/>
      <c r="F25" s="210"/>
      <c r="G25" s="206"/>
      <c r="I25" s="220"/>
      <c r="J25" s="215"/>
      <c r="K25" s="210"/>
      <c r="L25" s="210"/>
      <c r="M25" s="112"/>
      <c r="N25" s="206"/>
      <c r="P25" s="212"/>
      <c r="Q25" s="210"/>
      <c r="R25" s="204"/>
      <c r="S25" s="204"/>
      <c r="T25" s="208"/>
      <c r="V25" s="113" t="s">
        <v>249</v>
      </c>
      <c r="W25" s="114">
        <v>5</v>
      </c>
      <c r="X25" s="115">
        <v>7</v>
      </c>
      <c r="Y25" s="116">
        <v>10</v>
      </c>
    </row>
    <row r="26" spans="1:25">
      <c r="C26" s="220"/>
      <c r="D26" s="117">
        <v>1</v>
      </c>
      <c r="E26" s="118" t="s">
        <v>218</v>
      </c>
      <c r="F26" s="118" t="s">
        <v>218</v>
      </c>
      <c r="G26" s="119" t="s">
        <v>219</v>
      </c>
      <c r="I26" s="220"/>
      <c r="J26" s="117" t="s">
        <v>194</v>
      </c>
      <c r="K26" s="118" t="s">
        <v>225</v>
      </c>
      <c r="L26" s="118" t="s">
        <v>225</v>
      </c>
      <c r="M26" s="112"/>
      <c r="N26" s="119" t="s">
        <v>226</v>
      </c>
      <c r="P26" s="212"/>
      <c r="Q26" s="120" t="s">
        <v>194</v>
      </c>
      <c r="R26" s="118" t="s">
        <v>225</v>
      </c>
      <c r="S26" s="118" t="s">
        <v>225</v>
      </c>
      <c r="T26" s="119" t="s">
        <v>226</v>
      </c>
      <c r="V26" s="113" t="s">
        <v>250</v>
      </c>
      <c r="W26" s="121">
        <v>7</v>
      </c>
      <c r="X26" s="122">
        <v>10</v>
      </c>
      <c r="Y26" s="123">
        <v>15</v>
      </c>
    </row>
    <row r="27" spans="1:25">
      <c r="C27" s="220"/>
      <c r="D27" s="117" t="s">
        <v>206</v>
      </c>
      <c r="E27" s="118" t="s">
        <v>218</v>
      </c>
      <c r="F27" s="118" t="s">
        <v>219</v>
      </c>
      <c r="G27" s="119" t="s">
        <v>220</v>
      </c>
      <c r="I27" s="220"/>
      <c r="J27" s="117" t="s">
        <v>212</v>
      </c>
      <c r="K27" s="118" t="s">
        <v>225</v>
      </c>
      <c r="L27" s="119" t="s">
        <v>226</v>
      </c>
      <c r="M27" s="119"/>
      <c r="N27" s="119" t="s">
        <v>227</v>
      </c>
      <c r="P27" s="212"/>
      <c r="Q27" s="120">
        <v>2</v>
      </c>
      <c r="R27" s="118" t="s">
        <v>225</v>
      </c>
      <c r="S27" s="118" t="s">
        <v>226</v>
      </c>
      <c r="T27" s="119" t="s">
        <v>227</v>
      </c>
      <c r="V27" s="113" t="s">
        <v>251</v>
      </c>
      <c r="W27" s="121">
        <v>3</v>
      </c>
      <c r="X27" s="122">
        <v>4</v>
      </c>
      <c r="Y27" s="123">
        <v>6</v>
      </c>
    </row>
    <row r="28" spans="1:25" ht="14.25" thickBot="1">
      <c r="C28" s="221"/>
      <c r="D28" s="124" t="s">
        <v>204</v>
      </c>
      <c r="E28" s="125" t="s">
        <v>219</v>
      </c>
      <c r="F28" s="125" t="s">
        <v>220</v>
      </c>
      <c r="G28" s="126" t="s">
        <v>220</v>
      </c>
      <c r="I28" s="221"/>
      <c r="J28" s="124" t="s">
        <v>195</v>
      </c>
      <c r="K28" s="126" t="s">
        <v>226</v>
      </c>
      <c r="L28" s="126" t="s">
        <v>227</v>
      </c>
      <c r="M28" s="126"/>
      <c r="N28" s="126" t="s">
        <v>227</v>
      </c>
      <c r="P28" s="213"/>
      <c r="Q28" s="127" t="s">
        <v>214</v>
      </c>
      <c r="R28" s="125" t="s">
        <v>226</v>
      </c>
      <c r="S28" s="125" t="s">
        <v>227</v>
      </c>
      <c r="T28" s="126" t="s">
        <v>227</v>
      </c>
      <c r="V28" s="113" t="s">
        <v>252</v>
      </c>
      <c r="W28" s="121">
        <v>3</v>
      </c>
      <c r="X28" s="122">
        <v>4</v>
      </c>
      <c r="Y28" s="123">
        <v>6</v>
      </c>
    </row>
    <row r="29" spans="1:25" ht="14.25" thickBot="1">
      <c r="C29" s="128"/>
      <c r="D29" s="129"/>
      <c r="E29" s="128"/>
      <c r="F29" s="128"/>
      <c r="G29" s="128"/>
      <c r="V29" s="130" t="s">
        <v>253</v>
      </c>
      <c r="W29" s="131">
        <v>4</v>
      </c>
      <c r="X29" s="132">
        <v>5</v>
      </c>
      <c r="Y29" s="133">
        <v>7</v>
      </c>
    </row>
    <row r="30" spans="1:25">
      <c r="C30" s="216" t="s">
        <v>235</v>
      </c>
      <c r="D30" s="209" t="s">
        <v>217</v>
      </c>
      <c r="E30" s="209" t="s">
        <v>205</v>
      </c>
      <c r="F30" s="209" t="s">
        <v>202</v>
      </c>
      <c r="G30" s="205" t="s">
        <v>203</v>
      </c>
      <c r="I30" s="216" t="s">
        <v>233</v>
      </c>
      <c r="J30" s="209" t="s">
        <v>217</v>
      </c>
      <c r="K30" s="209" t="s">
        <v>210</v>
      </c>
      <c r="L30" s="209" t="s">
        <v>211</v>
      </c>
      <c r="M30" s="107"/>
      <c r="N30" s="205" t="s">
        <v>193</v>
      </c>
    </row>
    <row r="31" spans="1:25">
      <c r="C31" s="217"/>
      <c r="D31" s="210"/>
      <c r="E31" s="210"/>
      <c r="F31" s="210"/>
      <c r="G31" s="206"/>
      <c r="I31" s="217"/>
      <c r="J31" s="210"/>
      <c r="K31" s="210"/>
      <c r="L31" s="210"/>
      <c r="M31" s="112"/>
      <c r="N31" s="206"/>
    </row>
    <row r="32" spans="1:25">
      <c r="C32" s="217"/>
      <c r="D32" s="118">
        <v>1</v>
      </c>
      <c r="E32" s="118" t="s">
        <v>222</v>
      </c>
      <c r="F32" s="118" t="s">
        <v>222</v>
      </c>
      <c r="G32" s="119" t="s">
        <v>223</v>
      </c>
      <c r="I32" s="217"/>
      <c r="J32" s="118" t="s">
        <v>194</v>
      </c>
      <c r="K32" s="118" t="s">
        <v>228</v>
      </c>
      <c r="L32" s="118" t="s">
        <v>228</v>
      </c>
      <c r="M32" s="112"/>
      <c r="N32" s="119" t="s">
        <v>229</v>
      </c>
    </row>
    <row r="33" spans="3:14">
      <c r="C33" s="217"/>
      <c r="D33" s="118" t="s">
        <v>206</v>
      </c>
      <c r="E33" s="118" t="s">
        <v>222</v>
      </c>
      <c r="F33" s="118" t="s">
        <v>223</v>
      </c>
      <c r="G33" s="119" t="s">
        <v>224</v>
      </c>
      <c r="I33" s="217"/>
      <c r="J33" s="118" t="s">
        <v>212</v>
      </c>
      <c r="K33" s="118" t="s">
        <v>228</v>
      </c>
      <c r="L33" s="118" t="s">
        <v>229</v>
      </c>
      <c r="M33" s="112"/>
      <c r="N33" s="119" t="s">
        <v>230</v>
      </c>
    </row>
    <row r="34" spans="3:14" ht="14.25" thickBot="1">
      <c r="C34" s="218"/>
      <c r="D34" s="125" t="s">
        <v>204</v>
      </c>
      <c r="E34" s="125" t="s">
        <v>223</v>
      </c>
      <c r="F34" s="125" t="s">
        <v>224</v>
      </c>
      <c r="G34" s="126" t="s">
        <v>224</v>
      </c>
      <c r="I34" s="218"/>
      <c r="J34" s="125" t="s">
        <v>195</v>
      </c>
      <c r="K34" s="125" t="s">
        <v>229</v>
      </c>
      <c r="L34" s="125" t="s">
        <v>230</v>
      </c>
      <c r="M34" s="134"/>
      <c r="N34" s="126" t="s">
        <v>230</v>
      </c>
    </row>
    <row r="35" spans="3:14">
      <c r="C35" s="105"/>
      <c r="D35" s="106"/>
      <c r="E35" s="105"/>
      <c r="F35" s="105"/>
      <c r="G35" s="105"/>
    </row>
    <row r="36" spans="3:14">
      <c r="C36" s="73" t="s">
        <v>244</v>
      </c>
      <c r="D36" s="73" t="s">
        <v>245</v>
      </c>
    </row>
    <row r="37" spans="3:14">
      <c r="C37" s="73" t="s">
        <v>246</v>
      </c>
      <c r="D37" s="73" t="s">
        <v>247</v>
      </c>
    </row>
    <row r="41" spans="3:14">
      <c r="C41" s="105"/>
      <c r="D41" s="106"/>
      <c r="E41" s="105"/>
      <c r="F41" s="105"/>
      <c r="G41" s="105"/>
    </row>
    <row r="47" spans="3:14">
      <c r="C47" s="128"/>
      <c r="D47" s="129"/>
      <c r="E47" s="128"/>
      <c r="F47" s="128"/>
      <c r="G47" s="128"/>
    </row>
  </sheetData>
  <mergeCells count="33">
    <mergeCell ref="N1:Q1"/>
    <mergeCell ref="R1:R2"/>
    <mergeCell ref="A12:B13"/>
    <mergeCell ref="C12:L12"/>
    <mergeCell ref="N12:Q12"/>
    <mergeCell ref="R12:R13"/>
    <mergeCell ref="A1:B2"/>
    <mergeCell ref="C1:M1"/>
    <mergeCell ref="D24:D25"/>
    <mergeCell ref="J30:J31"/>
    <mergeCell ref="C30:C34"/>
    <mergeCell ref="D30:D31"/>
    <mergeCell ref="I24:I28"/>
    <mergeCell ref="J24:J25"/>
    <mergeCell ref="E30:E31"/>
    <mergeCell ref="F30:F31"/>
    <mergeCell ref="G30:G31"/>
    <mergeCell ref="E24:E25"/>
    <mergeCell ref="F24:F25"/>
    <mergeCell ref="G24:G25"/>
    <mergeCell ref="C24:C28"/>
    <mergeCell ref="I30:I34"/>
    <mergeCell ref="R24:R25"/>
    <mergeCell ref="S24:S25"/>
    <mergeCell ref="N24:N25"/>
    <mergeCell ref="T24:T25"/>
    <mergeCell ref="K30:K31"/>
    <mergeCell ref="L30:L31"/>
    <mergeCell ref="N30:N31"/>
    <mergeCell ref="Q24:Q25"/>
    <mergeCell ref="P24:P28"/>
    <mergeCell ref="K24:K25"/>
    <mergeCell ref="L24:L25"/>
  </mergeCells>
  <phoneticPr fontId="2" type="noConversion"/>
  <dataValidations count="4">
    <dataValidation type="list" allowBlank="1" showInputMessage="1" showErrorMessage="1" sqref="N14:N21 N3:N9">
      <formula1>"1,1.1,1.3,1.5"</formula1>
    </dataValidation>
    <dataValidation type="list" allowBlank="1" showInputMessage="1" showErrorMessage="1" sqref="O14:O21 O3:O9">
      <formula1>"1,3,5"</formula1>
    </dataValidation>
    <dataValidation type="list" allowBlank="1" showInputMessage="1" showErrorMessage="1" sqref="Q14:Q21 Q3:Q9">
      <formula1>"1,1.1,1.2,1.7,1.8,1.9,2.0"</formula1>
    </dataValidation>
    <dataValidation type="list" allowBlank="1" showInputMessage="1" showErrorMessage="1" sqref="P14:P21 P3:P9">
      <formula1>"0,1,2,3,4,5"</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14"/>
  <sheetViews>
    <sheetView zoomScaleNormal="100" workbookViewId="0">
      <selection activeCell="A144" sqref="A144"/>
    </sheetView>
  </sheetViews>
  <sheetFormatPr defaultColWidth="9.125" defaultRowHeight="14.25"/>
  <cols>
    <col min="1" max="1" width="38.125" style="72" customWidth="1"/>
    <col min="2" max="2" width="124.625" style="1" bestFit="1" customWidth="1"/>
    <col min="3" max="3" width="9.125" style="1"/>
    <col min="4" max="4" width="17" style="1" bestFit="1" customWidth="1"/>
    <col min="5" max="7" width="9.125" style="1"/>
    <col min="8" max="8" width="14.5" style="1" bestFit="1" customWidth="1"/>
    <col min="9" max="9" width="17" style="1" bestFit="1" customWidth="1"/>
    <col min="10" max="16384" width="9.125" style="1"/>
  </cols>
  <sheetData>
    <row r="1" spans="1:2" ht="17.25" thickBot="1">
      <c r="A1" s="240" t="s">
        <v>15</v>
      </c>
      <c r="B1" s="241"/>
    </row>
    <row r="2" spans="1:2" ht="29.65" customHeight="1">
      <c r="A2" s="242" t="s">
        <v>258</v>
      </c>
      <c r="B2" s="243"/>
    </row>
    <row r="3" spans="1:2" ht="17.25">
      <c r="A3" s="2" t="s">
        <v>16</v>
      </c>
      <c r="B3" s="3"/>
    </row>
    <row r="4" spans="1:2" ht="17.25">
      <c r="A4" s="2" t="s">
        <v>17</v>
      </c>
      <c r="B4" s="3"/>
    </row>
    <row r="5" spans="1:2" ht="17.25">
      <c r="A5" s="2" t="s">
        <v>18</v>
      </c>
      <c r="B5" s="3"/>
    </row>
    <row r="6" spans="1:2" ht="17.25">
      <c r="A6" s="2" t="s">
        <v>19</v>
      </c>
      <c r="B6" s="4"/>
    </row>
    <row r="7" spans="1:2" ht="17.25">
      <c r="A7" s="2" t="s">
        <v>20</v>
      </c>
      <c r="B7" s="3"/>
    </row>
    <row r="8" spans="1:2" ht="17.25">
      <c r="A8" s="2" t="s">
        <v>21</v>
      </c>
      <c r="B8" s="3"/>
    </row>
    <row r="9" spans="1:2" ht="17.25">
      <c r="A9" s="238" t="s">
        <v>22</v>
      </c>
      <c r="B9" s="239"/>
    </row>
    <row r="10" spans="1:2" ht="14.25" customHeight="1" thickBot="1">
      <c r="A10" s="244" t="s">
        <v>168</v>
      </c>
      <c r="B10" s="245"/>
    </row>
    <row r="11" spans="1:2" ht="16.5" thickBot="1">
      <c r="A11" s="246" t="s">
        <v>23</v>
      </c>
      <c r="B11" s="247"/>
    </row>
    <row r="12" spans="1:2" ht="16.5">
      <c r="A12" s="5" t="s">
        <v>24</v>
      </c>
      <c r="B12" s="6"/>
    </row>
    <row r="13" spans="1:2" ht="35.25" customHeight="1">
      <c r="A13" s="238" t="s">
        <v>25</v>
      </c>
      <c r="B13" s="239"/>
    </row>
    <row r="14" spans="1:2" ht="17.25" thickBot="1">
      <c r="A14" s="7" t="s">
        <v>26</v>
      </c>
      <c r="B14" s="3"/>
    </row>
    <row r="15" spans="1:2" ht="17.25" thickBot="1">
      <c r="A15" s="8" t="s">
        <v>27</v>
      </c>
      <c r="B15" s="9" t="s">
        <v>28</v>
      </c>
    </row>
    <row r="16" spans="1:2" ht="17.25" thickBot="1">
      <c r="A16" s="8">
        <v>1</v>
      </c>
      <c r="B16" s="9" t="s">
        <v>29</v>
      </c>
    </row>
    <row r="17" spans="1:2" ht="17.25" thickBot="1">
      <c r="A17" s="8">
        <v>2</v>
      </c>
      <c r="B17" s="9" t="s">
        <v>30</v>
      </c>
    </row>
    <row r="18" spans="1:2" ht="17.25" thickBot="1">
      <c r="A18" s="8">
        <v>3</v>
      </c>
      <c r="B18" s="9" t="s">
        <v>31</v>
      </c>
    </row>
    <row r="19" spans="1:2" ht="17.25" thickBot="1">
      <c r="A19" s="8">
        <v>4</v>
      </c>
      <c r="B19" s="9" t="s">
        <v>32</v>
      </c>
    </row>
    <row r="20" spans="1:2" ht="17.25" thickBot="1">
      <c r="A20" s="8">
        <v>5</v>
      </c>
      <c r="B20" s="9" t="s">
        <v>33</v>
      </c>
    </row>
    <row r="21" spans="1:2" ht="17.25" thickBot="1">
      <c r="A21" s="10" t="s">
        <v>26</v>
      </c>
      <c r="B21" s="11"/>
    </row>
    <row r="22" spans="1:2" ht="16.5">
      <c r="A22" s="5" t="s">
        <v>34</v>
      </c>
      <c r="B22" s="6"/>
    </row>
    <row r="23" spans="1:2" ht="17.649999999999999" customHeight="1">
      <c r="A23" s="250" t="s">
        <v>35</v>
      </c>
      <c r="B23" s="251"/>
    </row>
    <row r="24" spans="1:2" ht="17.25" thickBot="1">
      <c r="A24" s="7" t="s">
        <v>26</v>
      </c>
      <c r="B24" s="3"/>
    </row>
    <row r="25" spans="1:2" ht="17.25" thickBot="1">
      <c r="A25" s="8" t="s">
        <v>27</v>
      </c>
      <c r="B25" s="9" t="s">
        <v>36</v>
      </c>
    </row>
    <row r="26" spans="1:2" ht="17.25" thickBot="1">
      <c r="A26" s="8">
        <v>1</v>
      </c>
      <c r="B26" s="12" t="s">
        <v>37</v>
      </c>
    </row>
    <row r="27" spans="1:2" ht="17.25" thickBot="1">
      <c r="A27" s="8">
        <v>2</v>
      </c>
      <c r="B27" s="9" t="s">
        <v>38</v>
      </c>
    </row>
    <row r="28" spans="1:2" ht="17.25" thickBot="1">
      <c r="A28" s="8">
        <v>3</v>
      </c>
      <c r="B28" s="9" t="s">
        <v>39</v>
      </c>
    </row>
    <row r="29" spans="1:2" ht="17.25" thickBot="1">
      <c r="A29" s="8">
        <v>4</v>
      </c>
      <c r="B29" s="9" t="s">
        <v>40</v>
      </c>
    </row>
    <row r="30" spans="1:2" ht="17.25" thickBot="1">
      <c r="A30" s="8">
        <v>5</v>
      </c>
      <c r="B30" s="9" t="s">
        <v>41</v>
      </c>
    </row>
    <row r="31" spans="1:2" ht="17.25" thickBot="1">
      <c r="A31" s="10" t="s">
        <v>26</v>
      </c>
      <c r="B31" s="11"/>
    </row>
    <row r="32" spans="1:2" ht="16.5">
      <c r="A32" s="5" t="s">
        <v>42</v>
      </c>
      <c r="B32" s="6"/>
    </row>
    <row r="33" spans="1:2" ht="16.5">
      <c r="A33" s="252" t="s">
        <v>43</v>
      </c>
      <c r="B33" s="253"/>
    </row>
    <row r="34" spans="1:2" ht="17.25" thickBot="1">
      <c r="A34" s="7" t="s">
        <v>26</v>
      </c>
      <c r="B34" s="3"/>
    </row>
    <row r="35" spans="1:2" ht="17.25" thickBot="1">
      <c r="A35" s="8" t="s">
        <v>44</v>
      </c>
      <c r="B35" s="9" t="s">
        <v>45</v>
      </c>
    </row>
    <row r="36" spans="1:2" ht="17.25" thickBot="1">
      <c r="A36" s="8">
        <v>1</v>
      </c>
      <c r="B36" s="9" t="s">
        <v>46</v>
      </c>
    </row>
    <row r="37" spans="1:2" ht="17.25" thickBot="1">
      <c r="A37" s="8">
        <v>2</v>
      </c>
      <c r="B37" s="9" t="s">
        <v>47</v>
      </c>
    </row>
    <row r="38" spans="1:2" ht="17.25" thickBot="1">
      <c r="A38" s="8">
        <v>3</v>
      </c>
      <c r="B38" s="9" t="s">
        <v>48</v>
      </c>
    </row>
    <row r="39" spans="1:2" ht="17.25" thickBot="1">
      <c r="A39" s="8">
        <v>4</v>
      </c>
      <c r="B39" s="9" t="s">
        <v>49</v>
      </c>
    </row>
    <row r="40" spans="1:2" ht="17.25" thickBot="1">
      <c r="A40" s="13">
        <v>5</v>
      </c>
      <c r="B40" s="14" t="s">
        <v>165</v>
      </c>
    </row>
    <row r="41" spans="1:2" ht="16.5">
      <c r="A41" s="15" t="s">
        <v>26</v>
      </c>
      <c r="B41" s="6"/>
    </row>
    <row r="42" spans="1:2" ht="16.5">
      <c r="A42" s="16" t="s">
        <v>50</v>
      </c>
      <c r="B42" s="3"/>
    </row>
    <row r="43" spans="1:2" ht="17.25">
      <c r="A43" s="250" t="s">
        <v>192</v>
      </c>
      <c r="B43" s="251"/>
    </row>
    <row r="44" spans="1:2" ht="17.25" thickBot="1">
      <c r="A44" s="7" t="s">
        <v>26</v>
      </c>
      <c r="B44" s="3"/>
    </row>
    <row r="45" spans="1:2" ht="17.25" thickBot="1">
      <c r="A45" s="8" t="s">
        <v>27</v>
      </c>
      <c r="B45" s="9" t="s">
        <v>51</v>
      </c>
    </row>
    <row r="46" spans="1:2" ht="17.25" thickBot="1">
      <c r="A46" s="8">
        <v>1</v>
      </c>
      <c r="B46" s="9" t="s">
        <v>52</v>
      </c>
    </row>
    <row r="47" spans="1:2" ht="17.25" thickBot="1">
      <c r="A47" s="8">
        <v>2</v>
      </c>
      <c r="B47" s="9" t="s">
        <v>53</v>
      </c>
    </row>
    <row r="48" spans="1:2" ht="17.25" thickBot="1">
      <c r="A48" s="8">
        <v>3</v>
      </c>
      <c r="B48" s="9" t="s">
        <v>54</v>
      </c>
    </row>
    <row r="49" spans="1:2" ht="17.25" thickBot="1">
      <c r="A49" s="8">
        <v>4</v>
      </c>
      <c r="B49" s="9" t="s">
        <v>55</v>
      </c>
    </row>
    <row r="50" spans="1:2" ht="17.25" thickBot="1">
      <c r="A50" s="13">
        <v>5</v>
      </c>
      <c r="B50" s="14" t="s">
        <v>56</v>
      </c>
    </row>
    <row r="51" spans="1:2" ht="16.5">
      <c r="A51" s="7" t="s">
        <v>26</v>
      </c>
      <c r="B51" s="3"/>
    </row>
    <row r="52" spans="1:2" ht="16.5">
      <c r="A52" s="16" t="s">
        <v>57</v>
      </c>
      <c r="B52" s="3"/>
    </row>
    <row r="53" spans="1:2" ht="17.25">
      <c r="A53" s="250" t="s">
        <v>58</v>
      </c>
      <c r="B53" s="251"/>
    </row>
    <row r="54" spans="1:2" ht="17.25" thickBot="1">
      <c r="A54" s="7" t="s">
        <v>26</v>
      </c>
      <c r="B54" s="3"/>
    </row>
    <row r="55" spans="1:2" ht="17.25" thickBot="1">
      <c r="A55" s="8" t="s">
        <v>27</v>
      </c>
      <c r="B55" s="9" t="s">
        <v>59</v>
      </c>
    </row>
    <row r="56" spans="1:2" ht="17.25" thickBot="1">
      <c r="A56" s="8">
        <v>1</v>
      </c>
      <c r="B56" s="9" t="s">
        <v>60</v>
      </c>
    </row>
    <row r="57" spans="1:2" ht="17.25" thickBot="1">
      <c r="A57" s="8">
        <v>2</v>
      </c>
      <c r="B57" s="9" t="s">
        <v>61</v>
      </c>
    </row>
    <row r="58" spans="1:2" ht="17.25" thickBot="1">
      <c r="A58" s="8">
        <v>3</v>
      </c>
      <c r="B58" s="9" t="s">
        <v>62</v>
      </c>
    </row>
    <row r="59" spans="1:2" ht="17.25" thickBot="1">
      <c r="A59" s="8">
        <v>4</v>
      </c>
      <c r="B59" s="9" t="s">
        <v>63</v>
      </c>
    </row>
    <row r="60" spans="1:2" ht="17.25" thickBot="1">
      <c r="A60" s="8">
        <v>5</v>
      </c>
      <c r="B60" s="9" t="s">
        <v>64</v>
      </c>
    </row>
    <row r="61" spans="1:2" ht="17.25" thickBot="1">
      <c r="A61" s="7" t="s">
        <v>26</v>
      </c>
      <c r="B61" s="3"/>
    </row>
    <row r="62" spans="1:2" ht="16.5">
      <c r="A62" s="5" t="s">
        <v>65</v>
      </c>
      <c r="B62" s="6"/>
    </row>
    <row r="63" spans="1:2" ht="17.25">
      <c r="A63" s="250" t="s">
        <v>66</v>
      </c>
      <c r="B63" s="251"/>
    </row>
    <row r="64" spans="1:2" ht="17.25" thickBot="1">
      <c r="A64" s="7" t="s">
        <v>26</v>
      </c>
      <c r="B64" s="3"/>
    </row>
    <row r="65" spans="1:2" ht="17.25" thickBot="1">
      <c r="A65" s="8" t="s">
        <v>44</v>
      </c>
      <c r="B65" s="9" t="s">
        <v>67</v>
      </c>
    </row>
    <row r="66" spans="1:2" ht="17.25" thickBot="1">
      <c r="A66" s="8">
        <v>1</v>
      </c>
      <c r="B66" s="9" t="s">
        <v>68</v>
      </c>
    </row>
    <row r="67" spans="1:2" ht="17.25" thickBot="1">
      <c r="A67" s="8">
        <v>2</v>
      </c>
      <c r="B67" s="9" t="s">
        <v>69</v>
      </c>
    </row>
    <row r="68" spans="1:2" ht="17.25" thickBot="1">
      <c r="A68" s="8">
        <v>3</v>
      </c>
      <c r="B68" s="9" t="s">
        <v>70</v>
      </c>
    </row>
    <row r="69" spans="1:2" ht="17.25" thickBot="1">
      <c r="A69" s="8">
        <v>4</v>
      </c>
      <c r="B69" s="9" t="s">
        <v>71</v>
      </c>
    </row>
    <row r="70" spans="1:2" ht="17.25" thickBot="1">
      <c r="A70" s="13">
        <v>5</v>
      </c>
      <c r="B70" s="14" t="s">
        <v>72</v>
      </c>
    </row>
    <row r="71" spans="1:2" ht="16.5">
      <c r="A71" s="5" t="s">
        <v>73</v>
      </c>
      <c r="B71" s="6"/>
    </row>
    <row r="72" spans="1:2" ht="17.25">
      <c r="A72" s="250" t="s">
        <v>74</v>
      </c>
      <c r="B72" s="251"/>
    </row>
    <row r="73" spans="1:2" ht="17.25">
      <c r="A73" s="2" t="s">
        <v>75</v>
      </c>
      <c r="B73" s="3"/>
    </row>
    <row r="74" spans="1:2" ht="17.25">
      <c r="A74" s="2">
        <v>1</v>
      </c>
      <c r="B74" s="17" t="s">
        <v>76</v>
      </c>
    </row>
    <row r="75" spans="1:2" ht="17.25">
      <c r="A75" s="2">
        <v>2</v>
      </c>
      <c r="B75" s="17" t="s">
        <v>77</v>
      </c>
    </row>
    <row r="76" spans="1:2" ht="17.25">
      <c r="A76" s="2">
        <v>3</v>
      </c>
      <c r="B76" s="17" t="s">
        <v>78</v>
      </c>
    </row>
    <row r="77" spans="1:2" ht="17.25">
      <c r="A77" s="2">
        <v>4</v>
      </c>
      <c r="B77" s="17" t="s">
        <v>79</v>
      </c>
    </row>
    <row r="78" spans="1:2" ht="17.25">
      <c r="A78" s="2">
        <v>5</v>
      </c>
      <c r="B78" s="17" t="s">
        <v>80</v>
      </c>
    </row>
    <row r="79" spans="1:2" ht="17.25">
      <c r="A79" s="2">
        <v>6</v>
      </c>
      <c r="B79" s="17" t="s">
        <v>81</v>
      </c>
    </row>
    <row r="80" spans="1:2" ht="17.25">
      <c r="A80" s="2">
        <v>7</v>
      </c>
      <c r="B80" s="17" t="s">
        <v>82</v>
      </c>
    </row>
    <row r="81" spans="1:2" ht="17.25">
      <c r="A81" s="2">
        <v>8</v>
      </c>
      <c r="B81" s="17" t="s">
        <v>83</v>
      </c>
    </row>
    <row r="82" spans="1:2" ht="17.25">
      <c r="A82" s="2">
        <v>9</v>
      </c>
      <c r="B82" s="17" t="s">
        <v>84</v>
      </c>
    </row>
    <row r="83" spans="1:2" ht="17.25">
      <c r="A83" s="2">
        <v>10</v>
      </c>
      <c r="B83" s="17" t="s">
        <v>85</v>
      </c>
    </row>
    <row r="84" spans="1:2" ht="17.25">
      <c r="A84" s="2">
        <v>11</v>
      </c>
      <c r="B84" s="17" t="s">
        <v>86</v>
      </c>
    </row>
    <row r="85" spans="1:2" ht="17.25">
      <c r="A85" s="2">
        <v>12</v>
      </c>
      <c r="B85" s="17" t="s">
        <v>87</v>
      </c>
    </row>
    <row r="86" spans="1:2" ht="17.25">
      <c r="A86" s="2">
        <v>13</v>
      </c>
      <c r="B86" s="17" t="s">
        <v>88</v>
      </c>
    </row>
    <row r="87" spans="1:2" ht="17.25">
      <c r="A87" s="2">
        <v>14</v>
      </c>
      <c r="B87" s="17" t="s">
        <v>89</v>
      </c>
    </row>
    <row r="88" spans="1:2" ht="17.25">
      <c r="A88" s="2">
        <v>15</v>
      </c>
      <c r="B88" s="17" t="s">
        <v>90</v>
      </c>
    </row>
    <row r="89" spans="1:2" ht="17.25">
      <c r="A89" s="2">
        <v>16</v>
      </c>
      <c r="B89" s="17" t="s">
        <v>91</v>
      </c>
    </row>
    <row r="90" spans="1:2" ht="18" thickBot="1">
      <c r="A90" s="2"/>
      <c r="B90" s="17"/>
    </row>
    <row r="91" spans="1:2" ht="17.25" thickBot="1">
      <c r="A91" s="8" t="s">
        <v>44</v>
      </c>
      <c r="B91" s="9" t="s">
        <v>92</v>
      </c>
    </row>
    <row r="92" spans="1:2" ht="17.25" thickBot="1">
      <c r="A92" s="8">
        <v>1</v>
      </c>
      <c r="B92" s="9" t="s">
        <v>93</v>
      </c>
    </row>
    <row r="93" spans="1:2" ht="17.25" thickBot="1">
      <c r="A93" s="8">
        <v>2</v>
      </c>
      <c r="B93" s="9" t="s">
        <v>94</v>
      </c>
    </row>
    <row r="94" spans="1:2" ht="17.25" thickBot="1">
      <c r="A94" s="8">
        <v>3</v>
      </c>
      <c r="B94" s="9" t="s">
        <v>95</v>
      </c>
    </row>
    <row r="95" spans="1:2" ht="17.25" thickBot="1">
      <c r="A95" s="8">
        <v>4</v>
      </c>
      <c r="B95" s="9" t="s">
        <v>96</v>
      </c>
    </row>
    <row r="96" spans="1:2" ht="17.25" thickBot="1">
      <c r="A96" s="13">
        <v>5</v>
      </c>
      <c r="B96" s="14" t="s">
        <v>97</v>
      </c>
    </row>
    <row r="97" spans="1:3" ht="16.5">
      <c r="A97" s="15" t="s">
        <v>26</v>
      </c>
      <c r="B97" s="6"/>
    </row>
    <row r="98" spans="1:3" ht="15.75">
      <c r="A98" s="18" t="s">
        <v>98</v>
      </c>
      <c r="B98" s="19"/>
    </row>
    <row r="99" spans="1:3">
      <c r="A99" s="250" t="s">
        <v>99</v>
      </c>
      <c r="B99" s="254"/>
    </row>
    <row r="100" spans="1:3" ht="15" customHeight="1">
      <c r="A100" s="20">
        <v>1</v>
      </c>
      <c r="B100" s="21" t="s">
        <v>100</v>
      </c>
      <c r="C100" s="22"/>
    </row>
    <row r="101" spans="1:3" s="24" customFormat="1" ht="15" customHeight="1">
      <c r="A101" s="23">
        <v>2</v>
      </c>
      <c r="B101" s="21" t="s">
        <v>101</v>
      </c>
      <c r="C101" s="22"/>
    </row>
    <row r="102" spans="1:3" s="24" customFormat="1" ht="16.5">
      <c r="A102" s="23">
        <v>3</v>
      </c>
      <c r="B102" s="21" t="s">
        <v>102</v>
      </c>
    </row>
    <row r="103" spans="1:3" s="24" customFormat="1" ht="15" customHeight="1">
      <c r="A103" s="20">
        <v>4</v>
      </c>
      <c r="B103" s="21" t="s">
        <v>103</v>
      </c>
      <c r="C103" s="22"/>
    </row>
    <row r="104" spans="1:3" s="24" customFormat="1" ht="15" customHeight="1">
      <c r="A104" s="23">
        <v>5</v>
      </c>
      <c r="B104" s="21" t="s">
        <v>104</v>
      </c>
    </row>
    <row r="105" spans="1:3" s="24" customFormat="1" ht="15" customHeight="1">
      <c r="A105" s="23">
        <v>6</v>
      </c>
      <c r="B105" s="21" t="s">
        <v>105</v>
      </c>
    </row>
    <row r="106" spans="1:3" s="24" customFormat="1" ht="15" customHeight="1">
      <c r="A106" s="20">
        <v>7</v>
      </c>
      <c r="B106" s="21" t="s">
        <v>106</v>
      </c>
    </row>
    <row r="107" spans="1:3" s="24" customFormat="1" ht="15" customHeight="1">
      <c r="A107" s="23">
        <v>8</v>
      </c>
      <c r="B107" s="21" t="s">
        <v>107</v>
      </c>
    </row>
    <row r="108" spans="1:3" s="24" customFormat="1" ht="15" customHeight="1">
      <c r="A108" s="23">
        <v>9</v>
      </c>
      <c r="B108" s="21" t="s">
        <v>108</v>
      </c>
    </row>
    <row r="109" spans="1:3" s="24" customFormat="1" ht="15" customHeight="1">
      <c r="A109" s="20">
        <v>10</v>
      </c>
      <c r="B109" s="21" t="s">
        <v>109</v>
      </c>
    </row>
    <row r="110" spans="1:3" s="24" customFormat="1" ht="15" customHeight="1">
      <c r="A110" s="23">
        <v>11</v>
      </c>
      <c r="B110" s="21" t="s">
        <v>110</v>
      </c>
    </row>
    <row r="111" spans="1:3" s="24" customFormat="1" ht="15.4" customHeight="1" thickBot="1">
      <c r="A111" s="23"/>
      <c r="B111" s="21"/>
    </row>
    <row r="112" spans="1:3" ht="17.25" thickBot="1">
      <c r="A112" s="25">
        <v>0</v>
      </c>
      <c r="B112" s="9" t="s">
        <v>111</v>
      </c>
    </row>
    <row r="113" spans="1:2" ht="17.25" thickBot="1">
      <c r="A113" s="25">
        <v>1</v>
      </c>
      <c r="B113" s="9" t="s">
        <v>112</v>
      </c>
    </row>
    <row r="114" spans="1:2" ht="17.25" thickBot="1">
      <c r="A114" s="25">
        <v>2</v>
      </c>
      <c r="B114" s="9" t="s">
        <v>113</v>
      </c>
    </row>
    <row r="115" spans="1:2" ht="17.25" thickBot="1">
      <c r="A115" s="25">
        <v>3</v>
      </c>
      <c r="B115" s="9" t="s">
        <v>114</v>
      </c>
    </row>
    <row r="116" spans="1:2" ht="17.25" thickBot="1">
      <c r="A116" s="25">
        <v>4</v>
      </c>
      <c r="B116" s="9" t="s">
        <v>115</v>
      </c>
    </row>
    <row r="117" spans="1:2" ht="17.25" thickBot="1">
      <c r="A117" s="25">
        <v>5</v>
      </c>
      <c r="B117" s="9" t="s">
        <v>116</v>
      </c>
    </row>
    <row r="118" spans="1:2" ht="16.5">
      <c r="A118" s="26" t="s">
        <v>259</v>
      </c>
      <c r="B118" s="27"/>
    </row>
    <row r="119" spans="1:2">
      <c r="A119" s="250" t="s">
        <v>117</v>
      </c>
      <c r="B119" s="254"/>
    </row>
    <row r="120" spans="1:2" ht="16.5">
      <c r="A120" s="28">
        <v>1</v>
      </c>
      <c r="B120" s="29" t="s">
        <v>260</v>
      </c>
    </row>
    <row r="121" spans="1:2" ht="16.5">
      <c r="A121" s="28">
        <v>2</v>
      </c>
      <c r="B121" s="29" t="s">
        <v>261</v>
      </c>
    </row>
    <row r="122" spans="1:2" ht="16.5">
      <c r="A122" s="28">
        <v>3</v>
      </c>
      <c r="B122" s="29" t="s">
        <v>262</v>
      </c>
    </row>
    <row r="123" spans="1:2" ht="16.5">
      <c r="A123" s="28">
        <v>4</v>
      </c>
      <c r="B123" s="29" t="s">
        <v>263</v>
      </c>
    </row>
    <row r="124" spans="1:2" ht="17.25" thickBot="1">
      <c r="A124" s="30">
        <v>5</v>
      </c>
      <c r="B124" s="31" t="s">
        <v>264</v>
      </c>
    </row>
    <row r="125" spans="1:2" ht="16.5">
      <c r="A125" s="32" t="s">
        <v>290</v>
      </c>
      <c r="B125" s="33"/>
    </row>
    <row r="126" spans="1:2" ht="16.5">
      <c r="A126" s="252" t="s">
        <v>118</v>
      </c>
      <c r="B126" s="253"/>
    </row>
    <row r="127" spans="1:2" ht="16.5">
      <c r="A127" s="28"/>
      <c r="B127" s="29" t="s">
        <v>265</v>
      </c>
    </row>
    <row r="128" spans="1:2" ht="16.5">
      <c r="A128" s="28">
        <v>1</v>
      </c>
      <c r="B128" s="29" t="s">
        <v>266</v>
      </c>
    </row>
    <row r="129" spans="1:2" ht="16.5">
      <c r="A129" s="28">
        <v>2</v>
      </c>
      <c r="B129" s="29" t="s">
        <v>267</v>
      </c>
    </row>
    <row r="130" spans="1:2" ht="16.5">
      <c r="A130" s="28">
        <v>3</v>
      </c>
      <c r="B130" s="29" t="s">
        <v>268</v>
      </c>
    </row>
    <row r="131" spans="1:2" ht="16.5">
      <c r="A131" s="28">
        <v>4</v>
      </c>
      <c r="B131" s="29" t="s">
        <v>269</v>
      </c>
    </row>
    <row r="132" spans="1:2" ht="16.5">
      <c r="A132" s="28">
        <v>5</v>
      </c>
      <c r="B132" s="29" t="s">
        <v>270</v>
      </c>
    </row>
    <row r="133" spans="1:2" ht="15" thickBot="1">
      <c r="A133" s="34" t="s">
        <v>26</v>
      </c>
      <c r="B133" s="33"/>
    </row>
    <row r="134" spans="1:2" ht="17.25" thickBot="1">
      <c r="A134" s="35" t="s">
        <v>119</v>
      </c>
      <c r="B134" s="36" t="s">
        <v>120</v>
      </c>
    </row>
    <row r="135" spans="1:2" ht="17.25" thickBot="1">
      <c r="A135" s="35">
        <v>1</v>
      </c>
      <c r="B135" s="36" t="s">
        <v>121</v>
      </c>
    </row>
    <row r="136" spans="1:2" ht="17.25" thickBot="1">
      <c r="A136" s="35">
        <v>2</v>
      </c>
      <c r="B136" s="36" t="s">
        <v>122</v>
      </c>
    </row>
    <row r="137" spans="1:2" ht="17.25" thickBot="1">
      <c r="A137" s="35">
        <v>3</v>
      </c>
      <c r="B137" s="36" t="s">
        <v>123</v>
      </c>
    </row>
    <row r="138" spans="1:2" ht="17.25" thickBot="1">
      <c r="A138" s="35">
        <v>4</v>
      </c>
      <c r="B138" s="36" t="s">
        <v>124</v>
      </c>
    </row>
    <row r="139" spans="1:2" ht="16.5">
      <c r="A139" s="37">
        <v>5</v>
      </c>
      <c r="B139" s="38" t="s">
        <v>125</v>
      </c>
    </row>
    <row r="140" spans="1:2" ht="15" thickBot="1">
      <c r="A140" s="39" t="s">
        <v>26</v>
      </c>
      <c r="B140" s="40"/>
    </row>
    <row r="141" spans="1:2">
      <c r="A141" s="34" t="s">
        <v>26</v>
      </c>
      <c r="B141" s="33"/>
    </row>
    <row r="142" spans="1:2" ht="15.75">
      <c r="A142" s="16" t="s">
        <v>283</v>
      </c>
      <c r="B142" s="41"/>
    </row>
    <row r="143" spans="1:2" ht="16.5">
      <c r="A143" s="252" t="s">
        <v>287</v>
      </c>
      <c r="B143" s="253"/>
    </row>
    <row r="144" spans="1:2" ht="16.5">
      <c r="A144" s="28">
        <v>0.34</v>
      </c>
      <c r="B144" s="12" t="s">
        <v>288</v>
      </c>
    </row>
    <row r="145" spans="1:2" ht="16.5">
      <c r="A145" s="28">
        <v>0.51</v>
      </c>
      <c r="B145" s="12" t="s">
        <v>285</v>
      </c>
    </row>
    <row r="146" spans="1:2" ht="17.25" thickBot="1">
      <c r="A146" s="28">
        <v>1</v>
      </c>
      <c r="B146" s="12" t="s">
        <v>286</v>
      </c>
    </row>
    <row r="147" spans="1:2" ht="15.75">
      <c r="A147" s="5" t="s">
        <v>291</v>
      </c>
      <c r="B147" s="42"/>
    </row>
    <row r="148" spans="1:2" ht="16.5">
      <c r="A148" s="252" t="s">
        <v>177</v>
      </c>
      <c r="B148" s="253"/>
    </row>
    <row r="149" spans="1:2" ht="16.5">
      <c r="A149" s="28">
        <v>0.3</v>
      </c>
      <c r="B149" s="12" t="s">
        <v>178</v>
      </c>
    </row>
    <row r="150" spans="1:2" ht="16.5">
      <c r="A150" s="28">
        <v>0.4</v>
      </c>
      <c r="B150" s="12" t="s">
        <v>179</v>
      </c>
    </row>
    <row r="151" spans="1:2" ht="16.5">
      <c r="A151" s="28">
        <v>0.5</v>
      </c>
      <c r="B151" s="12" t="s">
        <v>180</v>
      </c>
    </row>
    <row r="152" spans="1:2" ht="16.5">
      <c r="A152" s="28">
        <v>0.7</v>
      </c>
      <c r="B152" s="12" t="s">
        <v>181</v>
      </c>
    </row>
    <row r="153" spans="1:2" ht="16.5">
      <c r="A153" s="28">
        <v>0.9</v>
      </c>
      <c r="B153" s="12" t="s">
        <v>182</v>
      </c>
    </row>
    <row r="154" spans="1:2" ht="16.5">
      <c r="A154" s="28">
        <v>1</v>
      </c>
      <c r="B154" s="12" t="s">
        <v>186</v>
      </c>
    </row>
    <row r="155" spans="1:2" ht="15" thickBot="1">
      <c r="A155" s="30"/>
      <c r="B155" s="43"/>
    </row>
    <row r="156" spans="1:2" ht="15">
      <c r="A156" s="44" t="s">
        <v>292</v>
      </c>
      <c r="B156" s="42"/>
    </row>
    <row r="157" spans="1:2" ht="16.5">
      <c r="A157" s="45">
        <v>1.5</v>
      </c>
      <c r="B157" s="12" t="s">
        <v>126</v>
      </c>
    </row>
    <row r="158" spans="1:2" ht="16.5">
      <c r="A158" s="45">
        <v>1.3</v>
      </c>
      <c r="B158" s="12" t="s">
        <v>127</v>
      </c>
    </row>
    <row r="159" spans="1:2" ht="16.5">
      <c r="A159" s="45">
        <v>1.1000000000000001</v>
      </c>
      <c r="B159" s="12" t="s">
        <v>128</v>
      </c>
    </row>
    <row r="160" spans="1:2" ht="17.25" thickBot="1">
      <c r="A160" s="30">
        <v>1</v>
      </c>
      <c r="B160" s="46" t="s">
        <v>129</v>
      </c>
    </row>
    <row r="161" spans="1:2">
      <c r="A161" s="34" t="s">
        <v>26</v>
      </c>
      <c r="B161" s="33"/>
    </row>
    <row r="162" spans="1:2" ht="16.5">
      <c r="A162" s="16" t="s">
        <v>293</v>
      </c>
      <c r="B162" s="3"/>
    </row>
    <row r="163" spans="1:2" ht="17.25">
      <c r="A163" s="250" t="s">
        <v>130</v>
      </c>
      <c r="B163" s="251"/>
    </row>
    <row r="164" spans="1:2" ht="17.25">
      <c r="A164" s="47">
        <v>1</v>
      </c>
      <c r="B164" s="48" t="s">
        <v>131</v>
      </c>
    </row>
    <row r="165" spans="1:2" ht="17.25">
      <c r="A165" s="47">
        <v>3</v>
      </c>
      <c r="B165" s="48" t="s">
        <v>132</v>
      </c>
    </row>
    <row r="166" spans="1:2" ht="17.25">
      <c r="A166" s="47">
        <v>5</v>
      </c>
      <c r="B166" s="48" t="s">
        <v>133</v>
      </c>
    </row>
    <row r="167" spans="1:2" ht="15" thickBot="1">
      <c r="A167" s="34" t="s">
        <v>26</v>
      </c>
      <c r="B167" s="33"/>
    </row>
    <row r="168" spans="1:2" ht="16.5">
      <c r="A168" s="26" t="s">
        <v>294</v>
      </c>
      <c r="B168" s="27"/>
    </row>
    <row r="169" spans="1:2">
      <c r="A169" s="248" t="s">
        <v>134</v>
      </c>
      <c r="B169" s="249"/>
    </row>
    <row r="170" spans="1:2" ht="15" thickBot="1">
      <c r="A170" s="248" t="s">
        <v>26</v>
      </c>
      <c r="B170" s="249"/>
    </row>
    <row r="171" spans="1:2" ht="17.25" thickBot="1">
      <c r="A171" s="35" t="s">
        <v>44</v>
      </c>
      <c r="B171" s="36" t="s">
        <v>135</v>
      </c>
    </row>
    <row r="172" spans="1:2" ht="17.25" thickBot="1">
      <c r="A172" s="35">
        <v>1</v>
      </c>
      <c r="B172" s="36" t="s">
        <v>136</v>
      </c>
    </row>
    <row r="173" spans="1:2" ht="17.25" thickBot="1">
      <c r="A173" s="35">
        <v>2</v>
      </c>
      <c r="B173" s="9" t="s">
        <v>166</v>
      </c>
    </row>
    <row r="174" spans="1:2" ht="17.25" thickBot="1">
      <c r="A174" s="35">
        <v>3</v>
      </c>
      <c r="B174" s="36" t="s">
        <v>137</v>
      </c>
    </row>
    <row r="175" spans="1:2" ht="17.25" thickBot="1">
      <c r="A175" s="35">
        <v>4</v>
      </c>
      <c r="B175" s="36" t="s">
        <v>271</v>
      </c>
    </row>
    <row r="176" spans="1:2" ht="17.25" thickBot="1">
      <c r="A176" s="49">
        <v>5</v>
      </c>
      <c r="B176" s="50" t="s">
        <v>272</v>
      </c>
    </row>
    <row r="177" spans="1:12" ht="22.5" customHeight="1" thickBot="1">
      <c r="A177" s="51"/>
      <c r="B177" s="42"/>
    </row>
    <row r="178" spans="1:12" ht="16.5">
      <c r="A178" s="5" t="s">
        <v>295</v>
      </c>
      <c r="B178" s="6"/>
    </row>
    <row r="179" spans="1:12" ht="18" thickBot="1">
      <c r="A179" s="250" t="s">
        <v>138</v>
      </c>
      <c r="B179" s="251"/>
    </row>
    <row r="180" spans="1:12" ht="17.25" thickBot="1">
      <c r="A180" s="52">
        <v>1</v>
      </c>
      <c r="B180" s="9" t="s">
        <v>139</v>
      </c>
    </row>
    <row r="181" spans="1:12" ht="17.25" thickBot="1">
      <c r="A181" s="52">
        <v>1.2</v>
      </c>
      <c r="B181" s="9" t="s">
        <v>140</v>
      </c>
    </row>
    <row r="182" spans="1:12" ht="17.25" thickBot="1">
      <c r="A182" s="52">
        <v>1.3</v>
      </c>
      <c r="B182" s="9" t="s">
        <v>141</v>
      </c>
    </row>
    <row r="183" spans="1:12" ht="17.25" thickBot="1">
      <c r="A183" s="52">
        <v>1.7</v>
      </c>
      <c r="B183" s="9" t="s">
        <v>296</v>
      </c>
    </row>
    <row r="184" spans="1:12" ht="17.25" thickBot="1">
      <c r="A184" s="52">
        <v>1.8</v>
      </c>
      <c r="B184" s="9" t="s">
        <v>142</v>
      </c>
    </row>
    <row r="185" spans="1:12" ht="17.25" thickBot="1">
      <c r="A185" s="52">
        <v>1.9</v>
      </c>
      <c r="B185" s="9" t="s">
        <v>143</v>
      </c>
    </row>
    <row r="186" spans="1:12" ht="17.25" thickBot="1">
      <c r="A186" s="52">
        <v>2</v>
      </c>
      <c r="B186" s="9" t="s">
        <v>144</v>
      </c>
    </row>
    <row r="187" spans="1:12" ht="15" thickBot="1">
      <c r="A187" s="53"/>
      <c r="B187" s="54"/>
    </row>
    <row r="188" spans="1:12" ht="15.75">
      <c r="A188" s="55"/>
      <c r="B188" s="56"/>
      <c r="D188" s="57"/>
      <c r="E188" s="58"/>
      <c r="F188" s="58"/>
      <c r="G188" s="59"/>
      <c r="H188" s="60"/>
      <c r="I188" s="61"/>
      <c r="J188" s="62"/>
      <c r="K188" s="62"/>
      <c r="L188" s="63"/>
    </row>
    <row r="189" spans="1:12" ht="16.5">
      <c r="A189" s="64"/>
      <c r="B189" s="12"/>
    </row>
    <row r="190" spans="1:12" ht="16.5">
      <c r="A190" s="32" t="s">
        <v>273</v>
      </c>
      <c r="B190" s="33"/>
    </row>
    <row r="191" spans="1:12" ht="30.4" customHeight="1">
      <c r="A191" s="261" t="s">
        <v>297</v>
      </c>
      <c r="B191" s="262"/>
    </row>
    <row r="192" spans="1:12" ht="16.5">
      <c r="A192" s="32" t="s">
        <v>274</v>
      </c>
      <c r="B192" s="41"/>
    </row>
    <row r="193" spans="1:2">
      <c r="A193" s="257" t="s">
        <v>145</v>
      </c>
      <c r="B193" s="258"/>
    </row>
    <row r="194" spans="1:2" ht="16.5">
      <c r="A194" s="32" t="s">
        <v>275</v>
      </c>
      <c r="B194" s="33"/>
    </row>
    <row r="195" spans="1:2" ht="30.4" customHeight="1">
      <c r="A195" s="261" t="s">
        <v>276</v>
      </c>
      <c r="B195" s="262"/>
    </row>
    <row r="196" spans="1:2" ht="15.75">
      <c r="A196" s="257" t="s">
        <v>277</v>
      </c>
      <c r="B196" s="258"/>
    </row>
    <row r="197" spans="1:2" ht="15.75">
      <c r="A197" s="16" t="s">
        <v>146</v>
      </c>
      <c r="B197" s="33"/>
    </row>
    <row r="198" spans="1:2" ht="16.5">
      <c r="A198" s="255" t="s">
        <v>278</v>
      </c>
      <c r="B198" s="256"/>
    </row>
    <row r="199" spans="1:2">
      <c r="A199" s="257" t="s">
        <v>147</v>
      </c>
      <c r="B199" s="258"/>
    </row>
    <row r="200" spans="1:2" ht="16.5">
      <c r="A200" s="32" t="s">
        <v>279</v>
      </c>
      <c r="B200" s="33"/>
    </row>
    <row r="201" spans="1:2" ht="46.9" customHeight="1">
      <c r="A201" s="259" t="s">
        <v>280</v>
      </c>
      <c r="B201" s="260"/>
    </row>
    <row r="202" spans="1:2" ht="15.75">
      <c r="A202" s="257" t="s">
        <v>298</v>
      </c>
      <c r="B202" s="258"/>
    </row>
    <row r="203" spans="1:2" ht="15" thickBot="1">
      <c r="A203" s="34" t="s">
        <v>26</v>
      </c>
      <c r="B203" s="33"/>
    </row>
    <row r="204" spans="1:2" ht="17.25" thickBot="1">
      <c r="A204" s="65" t="s">
        <v>281</v>
      </c>
      <c r="B204" s="66" t="s">
        <v>282</v>
      </c>
    </row>
    <row r="205" spans="1:2" ht="15" thickBot="1">
      <c r="A205" s="35" t="s">
        <v>148</v>
      </c>
      <c r="B205" s="36" t="s">
        <v>149</v>
      </c>
    </row>
    <row r="206" spans="1:2" ht="15" thickBot="1">
      <c r="A206" s="35" t="s">
        <v>150</v>
      </c>
      <c r="B206" s="36" t="s">
        <v>151</v>
      </c>
    </row>
    <row r="207" spans="1:2" ht="15" thickBot="1">
      <c r="A207" s="35" t="s">
        <v>152</v>
      </c>
      <c r="B207" s="36" t="s">
        <v>153</v>
      </c>
    </row>
    <row r="208" spans="1:2" ht="15" thickBot="1">
      <c r="A208" s="35" t="s">
        <v>154</v>
      </c>
      <c r="B208" s="36" t="s">
        <v>155</v>
      </c>
    </row>
    <row r="209" spans="1:2" ht="15" thickBot="1">
      <c r="A209" s="35" t="s">
        <v>156</v>
      </c>
      <c r="B209" s="36" t="s">
        <v>157</v>
      </c>
    </row>
    <row r="210" spans="1:2">
      <c r="A210" s="37" t="s">
        <v>158</v>
      </c>
      <c r="B210" s="67" t="s">
        <v>159</v>
      </c>
    </row>
    <row r="211" spans="1:2" ht="29.25" thickBot="1">
      <c r="A211" s="68"/>
      <c r="B211" s="69" t="s">
        <v>299</v>
      </c>
    </row>
    <row r="212" spans="1:2" ht="15" thickBot="1">
      <c r="A212" s="35" t="s">
        <v>160</v>
      </c>
      <c r="B212" s="36" t="s">
        <v>161</v>
      </c>
    </row>
    <row r="213" spans="1:2" ht="15" thickBot="1">
      <c r="A213" s="49" t="s">
        <v>162</v>
      </c>
      <c r="B213" s="50" t="s">
        <v>163</v>
      </c>
    </row>
    <row r="214" spans="1:2">
      <c r="A214" s="70"/>
      <c r="B214" s="71"/>
    </row>
  </sheetData>
  <mergeCells count="29">
    <mergeCell ref="A198:B198"/>
    <mergeCell ref="A199:B199"/>
    <mergeCell ref="A201:B201"/>
    <mergeCell ref="A202:B202"/>
    <mergeCell ref="A170:B170"/>
    <mergeCell ref="A179:B179"/>
    <mergeCell ref="A191:B191"/>
    <mergeCell ref="A193:B193"/>
    <mergeCell ref="A195:B195"/>
    <mergeCell ref="A196:B196"/>
    <mergeCell ref="A169:B169"/>
    <mergeCell ref="A23:B23"/>
    <mergeCell ref="A33:B33"/>
    <mergeCell ref="A43:B43"/>
    <mergeCell ref="A53:B53"/>
    <mergeCell ref="A63:B63"/>
    <mergeCell ref="A72:B72"/>
    <mergeCell ref="A99:B99"/>
    <mergeCell ref="A119:B119"/>
    <mergeCell ref="A126:B126"/>
    <mergeCell ref="A143:B143"/>
    <mergeCell ref="A163:B163"/>
    <mergeCell ref="A148:B148"/>
    <mergeCell ref="A13:B13"/>
    <mergeCell ref="A1:B1"/>
    <mergeCell ref="A2:B2"/>
    <mergeCell ref="A9:B9"/>
    <mergeCell ref="A10:B10"/>
    <mergeCell ref="A11:B11"/>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移动综合业务受理-2018年9月第一迭代</vt:lpstr>
      <vt:lpstr>移动综合业务受理-2018年8月第二迭代</vt:lpstr>
      <vt:lpstr>移动综合业务受理-2018年8月第一迭代</vt:lpstr>
      <vt:lpstr>FPA参数表</vt:lpstr>
      <vt:lpstr>调整因子说明</vt:lpstr>
    </vt:vector>
  </TitlesOfParts>
  <Manager/>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估算简易工具</dc:title>
  <dc:subject>CCEP</dc:subject>
  <dc:creator/>
  <cp:lastModifiedBy>孙啸寅</cp:lastModifiedBy>
  <dcterms:created xsi:type="dcterms:W3CDTF">2006-09-16T00:00:00Z</dcterms:created>
  <dcterms:modified xsi:type="dcterms:W3CDTF">2018-09-20T11:34:55Z</dcterms:modified>
</cp:coreProperties>
</file>